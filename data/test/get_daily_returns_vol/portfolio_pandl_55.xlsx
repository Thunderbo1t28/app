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Systematic Trading\app\data\test\get_daily_returns_vol\"/>
    </mc:Choice>
  </mc:AlternateContent>
  <xr:revisionPtr revIDLastSave="0" documentId="8_{B9EBF07F-E811-43FF-B84B-55A963B243E3}" xr6:coauthVersionLast="47" xr6:coauthVersionMax="47" xr10:uidLastSave="{00000000-0000-0000-0000-000000000000}"/>
  <bookViews>
    <workbookView xWindow="3690" yWindow="1230" windowWidth="53640" windowHeight="13890" xr2:uid="{61FFBA0A-04ED-4F9A-9005-53117F88A3C5}"/>
  </bookViews>
  <sheets>
    <sheet name="portfolio_pandl" sheetId="1" r:id="rId1"/>
  </sheets>
  <calcPr calcId="0"/>
</workbook>
</file>

<file path=xl/calcChain.xml><?xml version="1.0" encoding="utf-8"?>
<calcChain xmlns="http://schemas.openxmlformats.org/spreadsheetml/2006/main">
  <c r="C483" i="1" l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483" i="1"/>
  <c r="A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482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427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2" i="1"/>
  <c r="BF2" i="1" s="1"/>
  <c r="BF3" i="1" s="1"/>
  <c r="BF4" i="1" s="1"/>
  <c r="BF5" i="1" s="1"/>
  <c r="BF6" i="1" s="1"/>
  <c r="BF7" i="1" s="1"/>
  <c r="BF8" i="1" s="1"/>
  <c r="BF9" i="1" s="1"/>
  <c r="BF10" i="1" s="1"/>
  <c r="BF11" i="1" s="1"/>
  <c r="BF12" i="1" s="1"/>
  <c r="BF13" i="1" s="1"/>
  <c r="BF14" i="1" l="1"/>
  <c r="BF15" i="1" s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77" i="1" s="1"/>
  <c r="BF178" i="1" s="1"/>
  <c r="BF179" i="1" s="1"/>
  <c r="BF180" i="1" s="1"/>
  <c r="BF181" i="1" s="1"/>
  <c r="BF182" i="1" s="1"/>
  <c r="BF183" i="1" s="1"/>
  <c r="BF184" i="1" s="1"/>
  <c r="BF185" i="1" s="1"/>
  <c r="BF186" i="1" s="1"/>
  <c r="BF187" i="1" s="1"/>
  <c r="BF188" i="1" s="1"/>
  <c r="BF189" i="1" s="1"/>
  <c r="BF190" i="1" s="1"/>
  <c r="BF191" i="1" s="1"/>
  <c r="BF192" i="1" s="1"/>
  <c r="BF193" i="1" s="1"/>
  <c r="BF194" i="1" s="1"/>
  <c r="BF195" i="1" s="1"/>
  <c r="BF196" i="1" s="1"/>
  <c r="BF197" i="1" s="1"/>
  <c r="BF198" i="1" s="1"/>
  <c r="BF199" i="1" s="1"/>
  <c r="BF200" i="1" s="1"/>
  <c r="BF201" i="1" s="1"/>
  <c r="BF202" i="1" s="1"/>
  <c r="BF203" i="1" s="1"/>
  <c r="BF204" i="1" s="1"/>
  <c r="BF205" i="1" s="1"/>
  <c r="BF206" i="1" s="1"/>
  <c r="BF207" i="1" s="1"/>
  <c r="BF208" i="1" s="1"/>
  <c r="BF209" i="1" s="1"/>
  <c r="BF210" i="1" s="1"/>
  <c r="BF211" i="1" s="1"/>
  <c r="BF212" i="1" s="1"/>
  <c r="BF213" i="1" s="1"/>
  <c r="BF214" i="1" s="1"/>
  <c r="BF215" i="1" s="1"/>
  <c r="BF216" i="1" s="1"/>
  <c r="BF217" i="1" s="1"/>
  <c r="BF218" i="1" s="1"/>
  <c r="BF219" i="1" s="1"/>
  <c r="BF220" i="1" s="1"/>
  <c r="BF221" i="1" s="1"/>
  <c r="BF222" i="1" s="1"/>
  <c r="BF223" i="1" s="1"/>
  <c r="BF224" i="1" s="1"/>
  <c r="BF225" i="1" s="1"/>
  <c r="BF226" i="1" s="1"/>
  <c r="BF227" i="1" s="1"/>
  <c r="BF228" i="1" s="1"/>
  <c r="BF229" i="1" s="1"/>
  <c r="BF230" i="1" s="1"/>
  <c r="BF231" i="1" s="1"/>
  <c r="BF232" i="1" s="1"/>
  <c r="BF233" i="1" s="1"/>
  <c r="BF234" i="1" s="1"/>
  <c r="BF235" i="1" s="1"/>
  <c r="BF236" i="1" s="1"/>
  <c r="BF237" i="1" s="1"/>
  <c r="BF238" i="1" s="1"/>
  <c r="BF239" i="1" s="1"/>
  <c r="BF240" i="1" s="1"/>
  <c r="BF241" i="1" s="1"/>
  <c r="BF242" i="1" s="1"/>
  <c r="BF243" i="1" s="1"/>
  <c r="BF244" i="1" s="1"/>
  <c r="BF245" i="1" s="1"/>
  <c r="BF246" i="1" s="1"/>
  <c r="BF247" i="1" s="1"/>
  <c r="BF248" i="1" s="1"/>
  <c r="BF249" i="1" s="1"/>
  <c r="BF250" i="1" s="1"/>
  <c r="BF251" i="1" s="1"/>
  <c r="BF252" i="1" s="1"/>
  <c r="BF253" i="1" s="1"/>
  <c r="BF254" i="1" s="1"/>
  <c r="BF255" i="1" s="1"/>
  <c r="BF256" i="1" s="1"/>
  <c r="BF257" i="1" s="1"/>
  <c r="BF258" i="1" s="1"/>
  <c r="BF259" i="1" s="1"/>
  <c r="BF260" i="1" s="1"/>
  <c r="BF261" i="1" s="1"/>
  <c r="BF262" i="1" s="1"/>
  <c r="BF263" i="1" s="1"/>
  <c r="BF264" i="1" s="1"/>
  <c r="BF265" i="1" s="1"/>
  <c r="BF266" i="1" s="1"/>
  <c r="BF267" i="1" s="1"/>
  <c r="BF268" i="1" s="1"/>
  <c r="BF269" i="1" s="1"/>
  <c r="BF270" i="1" s="1"/>
  <c r="BF271" i="1" s="1"/>
  <c r="BF272" i="1" s="1"/>
  <c r="BF273" i="1" s="1"/>
  <c r="BF274" i="1" s="1"/>
  <c r="BF275" i="1" s="1"/>
  <c r="BF276" i="1" s="1"/>
  <c r="BF277" i="1" s="1"/>
  <c r="BF278" i="1" s="1"/>
  <c r="BF279" i="1" s="1"/>
  <c r="BF280" i="1" s="1"/>
  <c r="BF281" i="1" s="1"/>
  <c r="BF282" i="1" s="1"/>
  <c r="BF283" i="1" s="1"/>
  <c r="BF284" i="1" s="1"/>
  <c r="BF285" i="1" s="1"/>
  <c r="BF286" i="1" s="1"/>
  <c r="BF287" i="1" s="1"/>
  <c r="BF288" i="1" s="1"/>
  <c r="BF289" i="1" s="1"/>
  <c r="BF290" i="1" s="1"/>
  <c r="BF291" i="1" s="1"/>
  <c r="BF292" i="1" s="1"/>
  <c r="BF293" i="1" s="1"/>
  <c r="BF294" i="1" s="1"/>
  <c r="BF295" i="1" s="1"/>
  <c r="BF296" i="1" s="1"/>
  <c r="BF297" i="1" s="1"/>
  <c r="BF298" i="1" s="1"/>
  <c r="BF299" i="1" s="1"/>
  <c r="BF300" i="1" s="1"/>
  <c r="BF301" i="1" s="1"/>
  <c r="BF302" i="1" s="1"/>
  <c r="BF303" i="1" s="1"/>
  <c r="BF304" i="1" s="1"/>
  <c r="BF305" i="1" s="1"/>
  <c r="BF306" i="1" s="1"/>
  <c r="BF307" i="1" s="1"/>
  <c r="BF308" i="1" s="1"/>
  <c r="BF309" i="1" s="1"/>
  <c r="BF310" i="1" s="1"/>
  <c r="BF311" i="1" s="1"/>
  <c r="BF312" i="1" s="1"/>
  <c r="BF313" i="1" s="1"/>
  <c r="BF314" i="1" s="1"/>
  <c r="BF315" i="1" s="1"/>
  <c r="BF316" i="1" s="1"/>
  <c r="BF317" i="1" s="1"/>
  <c r="BF318" i="1" s="1"/>
  <c r="BF319" i="1" s="1"/>
  <c r="BF320" i="1" s="1"/>
  <c r="BF321" i="1" s="1"/>
  <c r="BF322" i="1" s="1"/>
  <c r="BF323" i="1" s="1"/>
  <c r="BF324" i="1" s="1"/>
  <c r="BF325" i="1" s="1"/>
  <c r="BF326" i="1" s="1"/>
  <c r="BF327" i="1" s="1"/>
  <c r="BF328" i="1" s="1"/>
  <c r="BF329" i="1" s="1"/>
  <c r="BF330" i="1" s="1"/>
  <c r="BF331" i="1" s="1"/>
  <c r="BF332" i="1" s="1"/>
  <c r="BF333" i="1" s="1"/>
  <c r="BF334" i="1" s="1"/>
  <c r="BF335" i="1" s="1"/>
  <c r="BF336" i="1" s="1"/>
  <c r="BF337" i="1" s="1"/>
  <c r="BF338" i="1" s="1"/>
  <c r="BF339" i="1" s="1"/>
  <c r="BF340" i="1" s="1"/>
  <c r="BF341" i="1" s="1"/>
  <c r="BF342" i="1" s="1"/>
  <c r="BF343" i="1" s="1"/>
  <c r="BF344" i="1" s="1"/>
  <c r="BF345" i="1" s="1"/>
  <c r="BF346" i="1" s="1"/>
  <c r="BF347" i="1" s="1"/>
  <c r="BF348" i="1" s="1"/>
  <c r="BF349" i="1" s="1"/>
  <c r="BF350" i="1" s="1"/>
  <c r="BF351" i="1" s="1"/>
  <c r="BF352" i="1" s="1"/>
  <c r="BF353" i="1" s="1"/>
  <c r="BF354" i="1" s="1"/>
  <c r="BF355" i="1" s="1"/>
  <c r="BF356" i="1" s="1"/>
  <c r="BF357" i="1" s="1"/>
  <c r="BF358" i="1" s="1"/>
  <c r="BF359" i="1" s="1"/>
  <c r="BF360" i="1" s="1"/>
  <c r="BF361" i="1" s="1"/>
  <c r="BF362" i="1" s="1"/>
  <c r="BF363" i="1" s="1"/>
  <c r="BF364" i="1" s="1"/>
  <c r="BF365" i="1" s="1"/>
  <c r="BF366" i="1" s="1"/>
  <c r="BF367" i="1" s="1"/>
  <c r="BF368" i="1" s="1"/>
</calcChain>
</file>

<file path=xl/sharedStrings.xml><?xml version="1.0" encoding="utf-8"?>
<sst xmlns="http://schemas.openxmlformats.org/spreadsheetml/2006/main" count="110" uniqueCount="55">
  <si>
    <t>AFKS</t>
  </si>
  <si>
    <t>ALRS</t>
  </si>
  <si>
    <t>ASTR</t>
  </si>
  <si>
    <t>BSPB</t>
  </si>
  <si>
    <t>CBOM</t>
  </si>
  <si>
    <t>CNY</t>
  </si>
  <si>
    <t>DAX</t>
  </si>
  <si>
    <t>Eu</t>
  </si>
  <si>
    <t>FEES</t>
  </si>
  <si>
    <t>FESH</t>
  </si>
  <si>
    <t>GAZR</t>
  </si>
  <si>
    <t>GL</t>
  </si>
  <si>
    <t>GOLD</t>
  </si>
  <si>
    <t>HKD</t>
  </si>
  <si>
    <t>HYDR</t>
  </si>
  <si>
    <t>ISKJ</t>
  </si>
  <si>
    <t>KMAZ</t>
  </si>
  <si>
    <t>LEAS</t>
  </si>
  <si>
    <t>MAGN</t>
  </si>
  <si>
    <t>MGNT</t>
  </si>
  <si>
    <t>MIX</t>
  </si>
  <si>
    <t>MOEX</t>
  </si>
  <si>
    <t>MTLR</t>
  </si>
  <si>
    <t>MTSI</t>
  </si>
  <si>
    <t>MVID</t>
  </si>
  <si>
    <t>MXI</t>
  </si>
  <si>
    <t>NGM</t>
  </si>
  <si>
    <t>NOTK</t>
  </si>
  <si>
    <t>OGI</t>
  </si>
  <si>
    <t>PHOR</t>
  </si>
  <si>
    <t>PIKK</t>
  </si>
  <si>
    <t>PLZL</t>
  </si>
  <si>
    <t>POSI</t>
  </si>
  <si>
    <t>RGBI</t>
  </si>
  <si>
    <t>RNFT</t>
  </si>
  <si>
    <t>RTSM</t>
  </si>
  <si>
    <t>RUAL</t>
  </si>
  <si>
    <t>SBPR</t>
  </si>
  <si>
    <t>SBRF</t>
  </si>
  <si>
    <t>SFIN</t>
  </si>
  <si>
    <t>SGZH</t>
  </si>
  <si>
    <t>SIBN</t>
  </si>
  <si>
    <t>SMLT</t>
  </si>
  <si>
    <t>SNGR</t>
  </si>
  <si>
    <t>SOFL</t>
  </si>
  <si>
    <t>SPBE</t>
  </si>
  <si>
    <t>SUGAR</t>
  </si>
  <si>
    <t>SVCB</t>
  </si>
  <si>
    <t>Si</t>
  </si>
  <si>
    <t>UCAD</t>
  </si>
  <si>
    <t>UCHF</t>
  </si>
  <si>
    <t>UJPY</t>
  </si>
  <si>
    <t>VKCO</t>
  </si>
  <si>
    <t>WUSH</t>
  </si>
  <si>
    <t>YDEX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</si>
</sst>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Times New Roman"/>
      <family val="2"/>
    </font>
    <font>
      <sz val="8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8"/>
      <color rgb="FF006100"/>
      <name val="Times New Roman"/>
      <family val="2"/>
    </font>
    <font>
      <sz val="8"/>
      <color rgb="FF9C0006"/>
      <name val="Times New Roman"/>
      <family val="2"/>
    </font>
    <font>
      <sz val="8"/>
      <color rgb="FF9C5700"/>
      <name val="Times New Roman"/>
      <family val="2"/>
    </font>
    <font>
      <sz val="8"/>
      <color rgb="FF3F3F76"/>
      <name val="Times New Roman"/>
      <family val="2"/>
    </font>
    <font>
      <b/>
      <sz val="8"/>
      <color rgb="FF3F3F3F"/>
      <name val="Times New Roman"/>
      <family val="2"/>
    </font>
    <font>
      <b/>
      <sz val="8"/>
      <color rgb="FFFA7D00"/>
      <name val="Times New Roman"/>
      <family val="2"/>
    </font>
    <font>
      <sz val="8"/>
      <color rgb="FFFA7D00"/>
      <name val="Times New Roman"/>
      <family val="2"/>
    </font>
    <font>
      <b/>
      <sz val="8"/>
      <color theme="0"/>
      <name val="Times New Roman"/>
      <family val="2"/>
    </font>
    <font>
      <sz val="8"/>
      <color rgb="FFFF0000"/>
      <name val="Times New Roman"/>
      <family val="2"/>
    </font>
    <font>
      <i/>
      <sz val="8"/>
      <color rgb="FF7F7F7F"/>
      <name val="Times New Roman"/>
      <family val="2"/>
    </font>
    <font>
      <b/>
      <sz val="8"/>
      <color theme="1"/>
      <name val="Times New Roman"/>
      <family val="2"/>
    </font>
    <font>
      <sz val="8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CDBB-FE01-4984-A593-C68A5B3833AC}">
  <dimension ref="A1:BF541"/>
  <sheetViews>
    <sheetView tabSelected="1" topLeftCell="A325" workbookViewId="0">
      <selection activeCell="AB368" sqref="AB368"/>
    </sheetView>
  </sheetViews>
  <sheetFormatPr defaultRowHeight="11.25" x14ac:dyDescent="0.2"/>
  <sheetData>
    <row r="1" spans="1:5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F1">
        <v>40000000</v>
      </c>
    </row>
    <row r="2" spans="1:58" x14ac:dyDescent="0.2">
      <c r="A2" s="1">
        <v>45188</v>
      </c>
      <c r="B2">
        <v>0</v>
      </c>
      <c r="C2">
        <v>0</v>
      </c>
      <c r="E2">
        <v>0</v>
      </c>
      <c r="G2">
        <v>0</v>
      </c>
      <c r="I2">
        <v>0</v>
      </c>
      <c r="J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0</v>
      </c>
      <c r="AE2">
        <v>0</v>
      </c>
      <c r="AF2">
        <v>0</v>
      </c>
      <c r="AG2">
        <v>0</v>
      </c>
      <c r="AH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U2">
        <v>0</v>
      </c>
      <c r="AX2">
        <v>0</v>
      </c>
      <c r="AZ2">
        <v>0</v>
      </c>
      <c r="BC2">
        <v>0</v>
      </c>
      <c r="BE2">
        <f>SUM(B2:BD2)</f>
        <v>0</v>
      </c>
      <c r="BF2">
        <f>BF1+BE2</f>
        <v>40000000</v>
      </c>
    </row>
    <row r="3" spans="1:58" x14ac:dyDescent="0.2">
      <c r="A3" s="1">
        <v>45189</v>
      </c>
      <c r="B3">
        <v>0</v>
      </c>
      <c r="C3">
        <v>0</v>
      </c>
      <c r="E3">
        <v>0</v>
      </c>
      <c r="F3">
        <v>0</v>
      </c>
      <c r="G3">
        <v>0</v>
      </c>
      <c r="I3">
        <v>0</v>
      </c>
      <c r="J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E3">
        <v>0</v>
      </c>
      <c r="AF3">
        <v>0</v>
      </c>
      <c r="AG3">
        <v>0</v>
      </c>
      <c r="AH3">
        <v>0</v>
      </c>
      <c r="AK3">
        <v>0</v>
      </c>
      <c r="AL3">
        <v>0</v>
      </c>
      <c r="AM3">
        <v>0</v>
      </c>
      <c r="AN3">
        <v>0</v>
      </c>
      <c r="AP3">
        <v>0</v>
      </c>
      <c r="AQ3">
        <v>0</v>
      </c>
      <c r="AR3">
        <v>0</v>
      </c>
      <c r="AS3">
        <v>0</v>
      </c>
      <c r="AU3">
        <v>0</v>
      </c>
      <c r="AX3">
        <v>0</v>
      </c>
      <c r="AZ3">
        <v>0</v>
      </c>
      <c r="BA3">
        <v>0</v>
      </c>
      <c r="BC3">
        <v>0</v>
      </c>
      <c r="BE3">
        <f t="shared" ref="BE3:BE66" si="0">SUM(B3:BD3)</f>
        <v>0</v>
      </c>
      <c r="BF3">
        <f t="shared" ref="BF3:BF66" si="1">BF2+BE3</f>
        <v>40000000</v>
      </c>
    </row>
    <row r="4" spans="1:58" x14ac:dyDescent="0.2">
      <c r="A4" s="1">
        <v>45190</v>
      </c>
      <c r="B4">
        <v>0</v>
      </c>
      <c r="C4">
        <v>-8085</v>
      </c>
      <c r="E4">
        <v>2340</v>
      </c>
      <c r="F4">
        <v>0</v>
      </c>
      <c r="G4">
        <v>26903.999999999302</v>
      </c>
      <c r="I4">
        <v>1098</v>
      </c>
      <c r="J4">
        <v>0</v>
      </c>
      <c r="L4">
        <v>70200</v>
      </c>
      <c r="M4">
        <v>54600</v>
      </c>
      <c r="N4">
        <v>85542.780399998694</v>
      </c>
      <c r="O4">
        <v>49503.999999999898</v>
      </c>
      <c r="P4">
        <v>0</v>
      </c>
      <c r="Q4">
        <v>0</v>
      </c>
      <c r="R4">
        <v>-10578</v>
      </c>
      <c r="T4">
        <v>0</v>
      </c>
      <c r="U4">
        <v>29055</v>
      </c>
      <c r="V4">
        <v>20100</v>
      </c>
      <c r="W4">
        <v>-243</v>
      </c>
      <c r="X4">
        <v>0</v>
      </c>
      <c r="Y4">
        <v>-6697</v>
      </c>
      <c r="Z4">
        <v>43740</v>
      </c>
      <c r="AA4">
        <v>9407.99999999994</v>
      </c>
      <c r="AC4">
        <v>33544</v>
      </c>
      <c r="AD4">
        <v>0</v>
      </c>
      <c r="AE4">
        <v>0</v>
      </c>
      <c r="AF4">
        <v>0</v>
      </c>
      <c r="AG4">
        <v>0</v>
      </c>
      <c r="AH4">
        <v>-19236</v>
      </c>
      <c r="AK4">
        <v>71013.016799999998</v>
      </c>
      <c r="AL4">
        <v>0</v>
      </c>
      <c r="AM4">
        <v>48608</v>
      </c>
      <c r="AN4">
        <v>38175</v>
      </c>
      <c r="AP4">
        <v>18850</v>
      </c>
      <c r="AQ4">
        <v>0</v>
      </c>
      <c r="AR4">
        <v>0</v>
      </c>
      <c r="AS4">
        <v>0</v>
      </c>
      <c r="AU4">
        <v>26160</v>
      </c>
      <c r="AX4">
        <v>0</v>
      </c>
      <c r="AZ4">
        <v>0</v>
      </c>
      <c r="BA4">
        <v>0</v>
      </c>
      <c r="BC4">
        <v>26320</v>
      </c>
      <c r="BE4">
        <f t="shared" si="0"/>
        <v>610322.79719999782</v>
      </c>
      <c r="BF4">
        <f t="shared" si="1"/>
        <v>40610322.797199994</v>
      </c>
    </row>
    <row r="5" spans="1:58" x14ac:dyDescent="0.2">
      <c r="A5" s="1">
        <v>45191</v>
      </c>
      <c r="B5">
        <v>-1575.9698699443099</v>
      </c>
      <c r="C5">
        <v>982.06269271124802</v>
      </c>
      <c r="E5">
        <v>-8063.6920086466798</v>
      </c>
      <c r="F5">
        <v>0</v>
      </c>
      <c r="G5">
        <v>-3102.4668531801599</v>
      </c>
      <c r="I5">
        <v>2024.4459121089899</v>
      </c>
      <c r="J5">
        <v>0</v>
      </c>
      <c r="L5">
        <v>-5208.2696431821996</v>
      </c>
      <c r="M5">
        <v>-1293.4738186910299</v>
      </c>
      <c r="N5">
        <v>191.81384587700299</v>
      </c>
      <c r="O5">
        <v>472.64481542535901</v>
      </c>
      <c r="P5">
        <v>0</v>
      </c>
      <c r="Q5">
        <v>-14.9697391037716</v>
      </c>
      <c r="R5">
        <v>796.48056897988602</v>
      </c>
      <c r="T5">
        <v>-79.582432479111006</v>
      </c>
      <c r="U5">
        <v>-15553</v>
      </c>
      <c r="V5">
        <v>-5050</v>
      </c>
      <c r="W5">
        <v>2571</v>
      </c>
      <c r="X5">
        <v>0</v>
      </c>
      <c r="Y5">
        <v>-6180</v>
      </c>
      <c r="Z5">
        <v>-14887.300785585699</v>
      </c>
      <c r="AA5">
        <v>-6052.1740879940498</v>
      </c>
      <c r="AC5">
        <v>-5040</v>
      </c>
      <c r="AD5">
        <v>0</v>
      </c>
      <c r="AE5">
        <v>-110.98801943623501</v>
      </c>
      <c r="AF5">
        <v>0</v>
      </c>
      <c r="AG5">
        <v>0</v>
      </c>
      <c r="AH5">
        <v>28769.579222168399</v>
      </c>
      <c r="AK5">
        <v>-13904.877919385501</v>
      </c>
      <c r="AL5">
        <v>-3913.1006172631101</v>
      </c>
      <c r="AM5">
        <v>-18325.190089942102</v>
      </c>
      <c r="AN5">
        <v>-12488.7468372599</v>
      </c>
      <c r="AP5">
        <v>13445.2312279579</v>
      </c>
      <c r="AQ5">
        <v>371.32909439909201</v>
      </c>
      <c r="AR5">
        <v>3081.41056776</v>
      </c>
      <c r="AS5">
        <v>0</v>
      </c>
      <c r="AU5">
        <v>-39254.217721738198</v>
      </c>
      <c r="AX5">
        <v>0</v>
      </c>
      <c r="AY5">
        <v>0</v>
      </c>
      <c r="AZ5">
        <v>0</v>
      </c>
      <c r="BA5">
        <v>0</v>
      </c>
      <c r="BC5">
        <v>-5607</v>
      </c>
      <c r="BE5">
        <f t="shared" si="0"/>
        <v>-112999.02249644417</v>
      </c>
      <c r="BF5">
        <f t="shared" si="1"/>
        <v>40497323.774703547</v>
      </c>
    </row>
    <row r="6" spans="1:58" x14ac:dyDescent="0.2">
      <c r="A6" s="1">
        <v>45194</v>
      </c>
      <c r="B6">
        <v>8789.6377606378992</v>
      </c>
      <c r="C6">
        <v>539.43601911113899</v>
      </c>
      <c r="E6">
        <v>-12478.259486458401</v>
      </c>
      <c r="F6">
        <v>0</v>
      </c>
      <c r="G6">
        <v>-6982.4853431507299</v>
      </c>
      <c r="I6">
        <v>-474</v>
      </c>
      <c r="J6">
        <v>0</v>
      </c>
      <c r="L6">
        <v>4795.9338761037397</v>
      </c>
      <c r="M6">
        <v>-12514.4199664062</v>
      </c>
      <c r="N6">
        <v>7556.5974218236097</v>
      </c>
      <c r="O6">
        <v>-3432.00000000009</v>
      </c>
      <c r="P6">
        <v>-317.85785046951997</v>
      </c>
      <c r="Q6">
        <v>-727.09429197120403</v>
      </c>
      <c r="R6">
        <v>13862.344985363799</v>
      </c>
      <c r="T6">
        <v>383</v>
      </c>
      <c r="U6">
        <v>2575</v>
      </c>
      <c r="V6">
        <v>-50</v>
      </c>
      <c r="W6">
        <v>426</v>
      </c>
      <c r="X6">
        <v>-94.138137490122702</v>
      </c>
      <c r="Y6">
        <v>14509.3501018487</v>
      </c>
      <c r="Z6">
        <v>-164.41798454233299</v>
      </c>
      <c r="AA6">
        <v>249.758671765771</v>
      </c>
      <c r="AC6">
        <v>4772.9835225537099</v>
      </c>
      <c r="AD6">
        <v>0</v>
      </c>
      <c r="AE6">
        <v>-141.26769067494399</v>
      </c>
      <c r="AF6">
        <v>0</v>
      </c>
      <c r="AG6">
        <v>0</v>
      </c>
      <c r="AH6">
        <v>-26384.422921429199</v>
      </c>
      <c r="AK6">
        <v>10245.536335803001</v>
      </c>
      <c r="AL6">
        <v>9457.9027955742895</v>
      </c>
      <c r="AM6">
        <v>1759.66451541582</v>
      </c>
      <c r="AN6">
        <v>-300.41252297175402</v>
      </c>
      <c r="AP6">
        <v>34717.940322445203</v>
      </c>
      <c r="AQ6">
        <v>-1104.6081472573901</v>
      </c>
      <c r="AR6">
        <v>3182.2444426872098</v>
      </c>
      <c r="AS6">
        <v>0</v>
      </c>
      <c r="AU6">
        <v>11164.721025639299</v>
      </c>
      <c r="AX6">
        <v>0</v>
      </c>
      <c r="AY6">
        <v>0</v>
      </c>
      <c r="AZ6">
        <v>0</v>
      </c>
      <c r="BA6">
        <v>0</v>
      </c>
      <c r="BC6">
        <v>1068</v>
      </c>
      <c r="BE6">
        <f t="shared" si="0"/>
        <v>64890.667453951304</v>
      </c>
      <c r="BF6">
        <f t="shared" si="1"/>
        <v>40562214.442157499</v>
      </c>
    </row>
    <row r="7" spans="1:58" x14ac:dyDescent="0.2">
      <c r="A7" s="1">
        <v>45195</v>
      </c>
      <c r="B7">
        <v>-4917.2011488284297</v>
      </c>
      <c r="C7">
        <v>-884.818192926238</v>
      </c>
      <c r="E7">
        <v>5654.6821590915497</v>
      </c>
      <c r="F7">
        <v>-47.515089262807798</v>
      </c>
      <c r="G7">
        <v>-2899.03550120403</v>
      </c>
      <c r="I7">
        <v>1524</v>
      </c>
      <c r="J7">
        <v>0</v>
      </c>
      <c r="L7">
        <v>12273.9663616693</v>
      </c>
      <c r="M7">
        <v>19854.1409088486</v>
      </c>
      <c r="N7">
        <v>25931.312999999998</v>
      </c>
      <c r="O7">
        <v>-3959.99999999991</v>
      </c>
      <c r="P7">
        <v>880.80467065596997</v>
      </c>
      <c r="Q7">
        <v>193.72383886687101</v>
      </c>
      <c r="R7">
        <v>588</v>
      </c>
      <c r="T7">
        <v>-1142.96619051789</v>
      </c>
      <c r="U7">
        <v>2060</v>
      </c>
      <c r="V7">
        <v>500</v>
      </c>
      <c r="W7">
        <v>183.24166635114301</v>
      </c>
      <c r="X7">
        <v>128</v>
      </c>
      <c r="Y7">
        <v>-30048</v>
      </c>
      <c r="Z7">
        <v>6293.76996808684</v>
      </c>
      <c r="AA7">
        <v>461.58599153586499</v>
      </c>
      <c r="AC7">
        <v>-1944</v>
      </c>
      <c r="AD7">
        <v>700.40796403920604</v>
      </c>
      <c r="AE7">
        <v>-1319.82662498372</v>
      </c>
      <c r="AF7">
        <v>-4.83688669825401</v>
      </c>
      <c r="AG7">
        <v>-230.99382319289501</v>
      </c>
      <c r="AH7">
        <v>6038.0914133807401</v>
      </c>
      <c r="AK7">
        <v>7828.14904901931</v>
      </c>
      <c r="AL7">
        <v>1400.30980215604</v>
      </c>
      <c r="AM7">
        <v>-18630.512489173099</v>
      </c>
      <c r="AN7">
        <v>-13479.0977596104</v>
      </c>
      <c r="AP7">
        <v>-3488</v>
      </c>
      <c r="AQ7">
        <v>598</v>
      </c>
      <c r="AR7">
        <v>11493.067808494599</v>
      </c>
      <c r="AS7">
        <v>0</v>
      </c>
      <c r="AU7">
        <v>894.50571323393103</v>
      </c>
      <c r="AX7">
        <v>-7.9105838937991004</v>
      </c>
      <c r="AY7">
        <v>0</v>
      </c>
      <c r="AZ7">
        <v>-1238.9944956720001</v>
      </c>
      <c r="BA7">
        <v>-61.719649361908999</v>
      </c>
      <c r="BC7">
        <v>-3558.5972618629298</v>
      </c>
      <c r="BE7">
        <f t="shared" si="0"/>
        <v>17615.734618241648</v>
      </c>
      <c r="BF7">
        <f t="shared" si="1"/>
        <v>40579830.176775739</v>
      </c>
    </row>
    <row r="8" spans="1:58" x14ac:dyDescent="0.2">
      <c r="A8" s="1">
        <v>45196</v>
      </c>
      <c r="B8">
        <v>-11791.2660529738</v>
      </c>
      <c r="C8">
        <v>-2150</v>
      </c>
      <c r="E8">
        <v>-60.049829802851697</v>
      </c>
      <c r="F8">
        <v>876</v>
      </c>
      <c r="G8">
        <v>-12456.213368632099</v>
      </c>
      <c r="I8">
        <v>-2310</v>
      </c>
      <c r="J8">
        <v>0</v>
      </c>
      <c r="L8">
        <v>-4182</v>
      </c>
      <c r="M8">
        <v>16619.199999999801</v>
      </c>
      <c r="N8">
        <v>22498.0703999996</v>
      </c>
      <c r="O8">
        <v>-158.19363333191501</v>
      </c>
      <c r="P8">
        <v>-1256.8521238854401</v>
      </c>
      <c r="Q8">
        <v>-2349.0108218273999</v>
      </c>
      <c r="R8">
        <v>504</v>
      </c>
      <c r="T8">
        <v>-270</v>
      </c>
      <c r="U8">
        <v>-7725</v>
      </c>
      <c r="V8">
        <v>-2750</v>
      </c>
      <c r="W8">
        <v>325.55949487816599</v>
      </c>
      <c r="X8">
        <v>-1051.60679270686</v>
      </c>
      <c r="Y8">
        <v>-27713.252025092599</v>
      </c>
      <c r="Z8">
        <v>-3699</v>
      </c>
      <c r="AA8">
        <v>-1964.99999999998</v>
      </c>
      <c r="AC8">
        <v>-6369</v>
      </c>
      <c r="AD8">
        <v>-135.51767008023401</v>
      </c>
      <c r="AE8">
        <v>-4253.04389344643</v>
      </c>
      <c r="AF8">
        <v>-7.3238942657252499</v>
      </c>
      <c r="AG8">
        <v>-1582.2245350245601</v>
      </c>
      <c r="AH8">
        <v>-2330.4120785135401</v>
      </c>
      <c r="AK8">
        <v>-7321.7435114235604</v>
      </c>
      <c r="AL8">
        <v>-3130.78016058819</v>
      </c>
      <c r="AM8">
        <v>5018.3279986454299</v>
      </c>
      <c r="AN8">
        <v>4460.0260227763902</v>
      </c>
      <c r="AP8">
        <v>-4796</v>
      </c>
      <c r="AQ8">
        <v>2990</v>
      </c>
      <c r="AR8">
        <v>3304.89415368664</v>
      </c>
      <c r="AS8">
        <v>-15.306542014418399</v>
      </c>
      <c r="AU8">
        <v>-7102.02841016198</v>
      </c>
      <c r="AX8">
        <v>35.815876002354699</v>
      </c>
      <c r="AY8">
        <v>0</v>
      </c>
      <c r="AZ8">
        <v>332.63956755954399</v>
      </c>
      <c r="BA8">
        <v>163.24180270148699</v>
      </c>
      <c r="BC8">
        <v>555.94995859296398</v>
      </c>
      <c r="BE8">
        <f t="shared" si="0"/>
        <v>-61247.10006892919</v>
      </c>
      <c r="BF8">
        <f t="shared" si="1"/>
        <v>40518583.076706812</v>
      </c>
    </row>
    <row r="9" spans="1:58" x14ac:dyDescent="0.2">
      <c r="A9" s="1">
        <v>45197</v>
      </c>
      <c r="B9">
        <v>-5390</v>
      </c>
      <c r="C9">
        <v>875</v>
      </c>
      <c r="E9">
        <v>-312.74019256918598</v>
      </c>
      <c r="F9">
        <v>82</v>
      </c>
      <c r="G9">
        <v>-17717.3455086752</v>
      </c>
      <c r="I9">
        <v>6650.4715930332404</v>
      </c>
      <c r="J9">
        <v>-48.973523024296597</v>
      </c>
      <c r="L9">
        <v>-18696</v>
      </c>
      <c r="M9">
        <v>7393.1000000002196</v>
      </c>
      <c r="N9">
        <v>45809.192800000303</v>
      </c>
      <c r="O9">
        <v>-4755.1949493731299</v>
      </c>
      <c r="P9">
        <v>346.714703057821</v>
      </c>
      <c r="Q9">
        <v>2200</v>
      </c>
      <c r="R9">
        <v>-365.09304739029602</v>
      </c>
      <c r="T9">
        <v>-638.24921807778105</v>
      </c>
      <c r="U9">
        <v>-6180</v>
      </c>
      <c r="V9">
        <v>-9150</v>
      </c>
      <c r="W9">
        <v>-3524.4069036599999</v>
      </c>
      <c r="X9">
        <v>-3341.8403383087002</v>
      </c>
      <c r="Y9">
        <v>-2745.8976202159201</v>
      </c>
      <c r="Z9">
        <v>20926.6519667541</v>
      </c>
      <c r="AA9">
        <v>-6923.5326958495698</v>
      </c>
      <c r="AC9">
        <v>-3888.5588128149002</v>
      </c>
      <c r="AD9">
        <v>-971.58940961176904</v>
      </c>
      <c r="AE9">
        <v>-1890</v>
      </c>
      <c r="AF9">
        <v>220.00883522253599</v>
      </c>
      <c r="AG9">
        <v>-2644.3335039139902</v>
      </c>
      <c r="AH9">
        <v>-26897.846532201402</v>
      </c>
      <c r="AK9">
        <v>-8929.8159787520308</v>
      </c>
      <c r="AL9">
        <v>-8377.3289184704809</v>
      </c>
      <c r="AM9">
        <v>-6721.0468861086702</v>
      </c>
      <c r="AN9">
        <v>-5346</v>
      </c>
      <c r="AP9">
        <v>-17440</v>
      </c>
      <c r="AQ9">
        <v>6063.0727025245196</v>
      </c>
      <c r="AR9">
        <v>9600.9918695172291</v>
      </c>
      <c r="AS9">
        <v>-815.46002094436994</v>
      </c>
      <c r="AU9">
        <v>-5399.5486175470496</v>
      </c>
      <c r="AX9">
        <v>2494.6421739822699</v>
      </c>
      <c r="AY9">
        <v>0</v>
      </c>
      <c r="AZ9">
        <v>3651.4770613854098</v>
      </c>
      <c r="BA9">
        <v>2150.9236132135702</v>
      </c>
      <c r="BC9">
        <v>3740</v>
      </c>
      <c r="BE9">
        <f t="shared" si="0"/>
        <v>-56906.555358817503</v>
      </c>
      <c r="BF9">
        <f t="shared" si="1"/>
        <v>40461676.521347992</v>
      </c>
    </row>
    <row r="10" spans="1:58" x14ac:dyDescent="0.2">
      <c r="A10" s="1">
        <v>45198</v>
      </c>
      <c r="B10">
        <v>2233</v>
      </c>
      <c r="C10">
        <v>-1150</v>
      </c>
      <c r="E10">
        <v>324</v>
      </c>
      <c r="F10">
        <v>-124.213921048245</v>
      </c>
      <c r="G10">
        <v>-33688.3606695095</v>
      </c>
      <c r="I10">
        <v>8050</v>
      </c>
      <c r="J10">
        <v>-1144</v>
      </c>
      <c r="L10">
        <v>-1005.68643509295</v>
      </c>
      <c r="M10">
        <v>-22301.5</v>
      </c>
      <c r="N10">
        <v>21808.9999999994</v>
      </c>
      <c r="O10">
        <v>-7755.3458671478802</v>
      </c>
      <c r="P10">
        <v>0</v>
      </c>
      <c r="Q10">
        <v>-1100</v>
      </c>
      <c r="R10">
        <v>864</v>
      </c>
      <c r="T10">
        <v>-49.379820664963702</v>
      </c>
      <c r="U10">
        <v>-2091.6518816211401</v>
      </c>
      <c r="V10">
        <v>-7029.7549316291797</v>
      </c>
      <c r="W10">
        <v>1224</v>
      </c>
      <c r="X10">
        <v>591.22489573919597</v>
      </c>
      <c r="Y10">
        <v>-9946.5749345858294</v>
      </c>
      <c r="Z10">
        <v>-19360</v>
      </c>
      <c r="AA10">
        <v>-3515.0177491180898</v>
      </c>
      <c r="AC10">
        <v>-463.74083271095498</v>
      </c>
      <c r="AD10">
        <v>-1523.0545202042499</v>
      </c>
      <c r="AE10">
        <v>-855</v>
      </c>
      <c r="AF10">
        <v>-409.83391169063901</v>
      </c>
      <c r="AG10">
        <v>-12000</v>
      </c>
      <c r="AH10">
        <v>1837.31682908431</v>
      </c>
      <c r="AK10">
        <v>3312.8085069712401</v>
      </c>
      <c r="AL10">
        <v>-19805</v>
      </c>
      <c r="AM10">
        <v>-16115.1422965477</v>
      </c>
      <c r="AN10">
        <v>-12136.4209450699</v>
      </c>
      <c r="AP10">
        <v>14378.454073635299</v>
      </c>
      <c r="AQ10">
        <v>11731.878376226399</v>
      </c>
      <c r="AR10">
        <v>10929.478426248401</v>
      </c>
      <c r="AS10">
        <v>-3131.6061368303499</v>
      </c>
      <c r="AU10">
        <v>17624.236183037199</v>
      </c>
      <c r="AX10">
        <v>4927.4935408254896</v>
      </c>
      <c r="AY10">
        <v>0</v>
      </c>
      <c r="AZ10">
        <v>-757.16956936039901</v>
      </c>
      <c r="BA10">
        <v>-2282.9327735356001</v>
      </c>
      <c r="BC10">
        <v>-1224</v>
      </c>
      <c r="BE10">
        <f t="shared" si="0"/>
        <v>-81128.49636460068</v>
      </c>
      <c r="BF10">
        <f t="shared" si="1"/>
        <v>40380548.024983391</v>
      </c>
    </row>
    <row r="11" spans="1:58" x14ac:dyDescent="0.2">
      <c r="A11" s="1">
        <v>45201</v>
      </c>
      <c r="B11">
        <v>-1925</v>
      </c>
      <c r="C11">
        <v>4075</v>
      </c>
      <c r="E11">
        <v>1008</v>
      </c>
      <c r="F11">
        <v>-43.152899816597099</v>
      </c>
      <c r="G11">
        <v>-18011.615079989599</v>
      </c>
      <c r="I11">
        <v>4738.8765658668499</v>
      </c>
      <c r="J11">
        <v>-3256</v>
      </c>
      <c r="L11">
        <v>23055.797340253001</v>
      </c>
      <c r="M11">
        <v>-6354.4000000003298</v>
      </c>
      <c r="N11">
        <v>41109.0034000007</v>
      </c>
      <c r="O11">
        <v>-6863.3746481057597</v>
      </c>
      <c r="P11">
        <v>0</v>
      </c>
      <c r="Q11">
        <v>1200</v>
      </c>
      <c r="R11">
        <v>-35.147277547388903</v>
      </c>
      <c r="T11">
        <v>71.616649424080606</v>
      </c>
      <c r="U11">
        <v>4107.9098917097899</v>
      </c>
      <c r="V11">
        <v>696.54783312107998</v>
      </c>
      <c r="W11">
        <v>1629</v>
      </c>
      <c r="X11">
        <v>348</v>
      </c>
      <c r="Y11">
        <v>11900.160118994199</v>
      </c>
      <c r="Z11">
        <v>19343.0814344922</v>
      </c>
      <c r="AA11">
        <v>-88.808854071525104</v>
      </c>
      <c r="AC11">
        <v>-73.149545316448894</v>
      </c>
      <c r="AD11">
        <v>-769.688996040353</v>
      </c>
      <c r="AE11">
        <v>-1575</v>
      </c>
      <c r="AF11">
        <v>-3582</v>
      </c>
      <c r="AG11">
        <v>10985</v>
      </c>
      <c r="AH11">
        <v>-10394.1519303979</v>
      </c>
      <c r="AK11">
        <v>18968.358273878599</v>
      </c>
      <c r="AL11">
        <v>15513.3553585429</v>
      </c>
      <c r="AM11">
        <v>16006.6867450791</v>
      </c>
      <c r="AN11">
        <v>10804.1529378822</v>
      </c>
      <c r="AP11">
        <v>-3400</v>
      </c>
      <c r="AQ11">
        <v>5241.9951580499101</v>
      </c>
      <c r="AR11">
        <v>18678.5120214696</v>
      </c>
      <c r="AS11">
        <v>1102.7356265691101</v>
      </c>
      <c r="AU11">
        <v>0</v>
      </c>
      <c r="AX11">
        <v>7803.7131612738303</v>
      </c>
      <c r="AY11">
        <v>0</v>
      </c>
      <c r="AZ11">
        <v>-9857.9459455250399</v>
      </c>
      <c r="BA11">
        <v>9777.9749999999894</v>
      </c>
      <c r="BC11">
        <v>-68</v>
      </c>
      <c r="BE11">
        <f t="shared" si="0"/>
        <v>161868.04233979617</v>
      </c>
      <c r="BF11">
        <f t="shared" si="1"/>
        <v>40542416.067323186</v>
      </c>
    </row>
    <row r="12" spans="1:58" x14ac:dyDescent="0.2">
      <c r="A12" s="1">
        <v>45202</v>
      </c>
      <c r="B12">
        <v>3773</v>
      </c>
      <c r="C12">
        <v>-1575</v>
      </c>
      <c r="E12">
        <v>-810</v>
      </c>
      <c r="F12">
        <v>-500</v>
      </c>
      <c r="G12">
        <v>845.76828949811602</v>
      </c>
      <c r="I12">
        <v>-4360.5802989027297</v>
      </c>
      <c r="J12">
        <v>-2568</v>
      </c>
      <c r="L12">
        <v>-17576</v>
      </c>
      <c r="M12">
        <v>6400.3163518393503</v>
      </c>
      <c r="N12">
        <v>18703.6223999998</v>
      </c>
      <c r="O12">
        <v>-586.87219934954203</v>
      </c>
      <c r="P12">
        <v>-300.88929302779002</v>
      </c>
      <c r="Q12">
        <v>-8712.9721889225093</v>
      </c>
      <c r="R12">
        <v>-866.47649467527697</v>
      </c>
      <c r="T12">
        <v>-2667</v>
      </c>
      <c r="U12">
        <v>4484</v>
      </c>
      <c r="V12">
        <v>-26.886771770314098</v>
      </c>
      <c r="W12">
        <v>495</v>
      </c>
      <c r="X12">
        <v>1180</v>
      </c>
      <c r="Y12">
        <v>4365</v>
      </c>
      <c r="Z12">
        <v>7194</v>
      </c>
      <c r="AA12">
        <v>1393.5215268930001</v>
      </c>
      <c r="AC12">
        <v>-467.34951028365901</v>
      </c>
      <c r="AD12">
        <v>-4700</v>
      </c>
      <c r="AE12">
        <v>2320.3388884956898</v>
      </c>
      <c r="AF12">
        <v>-595.16966616629998</v>
      </c>
      <c r="AG12">
        <v>-4225</v>
      </c>
      <c r="AH12">
        <v>3429.3942742193599</v>
      </c>
      <c r="AK12">
        <v>-4773.3202999999903</v>
      </c>
      <c r="AL12">
        <v>4400</v>
      </c>
      <c r="AM12">
        <v>-7803</v>
      </c>
      <c r="AN12">
        <v>-5540</v>
      </c>
      <c r="AP12">
        <v>-22951.860937805901</v>
      </c>
      <c r="AQ12">
        <v>3497.8515444187201</v>
      </c>
      <c r="AR12">
        <v>-6527.4075257077202</v>
      </c>
      <c r="AS12">
        <v>3618.4524852240802</v>
      </c>
      <c r="AU12">
        <v>20601.729041924202</v>
      </c>
      <c r="AX12">
        <v>-206.49659839048999</v>
      </c>
      <c r="AY12">
        <v>0</v>
      </c>
      <c r="AZ12">
        <v>0</v>
      </c>
      <c r="BA12">
        <v>-4382.7612732795096</v>
      </c>
      <c r="BC12">
        <v>-1972</v>
      </c>
      <c r="BE12">
        <f t="shared" si="0"/>
        <v>-17993.048255769412</v>
      </c>
      <c r="BF12">
        <f t="shared" si="1"/>
        <v>40524423.019067414</v>
      </c>
    </row>
    <row r="13" spans="1:58" x14ac:dyDescent="0.2">
      <c r="A13" s="1">
        <v>45203</v>
      </c>
      <c r="B13">
        <v>449.73776899970801</v>
      </c>
      <c r="C13">
        <v>750</v>
      </c>
      <c r="E13">
        <v>-630</v>
      </c>
      <c r="F13">
        <v>-960</v>
      </c>
      <c r="G13">
        <v>-3005.7875058765399</v>
      </c>
      <c r="I13">
        <v>6867</v>
      </c>
      <c r="J13">
        <v>-424.69193135773003</v>
      </c>
      <c r="L13">
        <v>18195.7425970695</v>
      </c>
      <c r="M13">
        <v>3561.3944810071198</v>
      </c>
      <c r="N13">
        <v>-10832.635</v>
      </c>
      <c r="O13">
        <v>1154.1426059570099</v>
      </c>
      <c r="P13">
        <v>-1182.9865420347301</v>
      </c>
      <c r="Q13">
        <v>2234.2691466595402</v>
      </c>
      <c r="R13">
        <v>0</v>
      </c>
      <c r="T13">
        <v>2019</v>
      </c>
      <c r="U13">
        <v>-3724</v>
      </c>
      <c r="V13">
        <v>-1725</v>
      </c>
      <c r="W13">
        <v>135</v>
      </c>
      <c r="X13">
        <v>3041.31409451634</v>
      </c>
      <c r="Y13">
        <v>-495</v>
      </c>
      <c r="Z13">
        <v>44363</v>
      </c>
      <c r="AA13">
        <v>-2185.5191317205199</v>
      </c>
      <c r="AC13">
        <v>2595</v>
      </c>
      <c r="AD13">
        <v>-1840</v>
      </c>
      <c r="AE13">
        <v>14370.806209530499</v>
      </c>
      <c r="AF13">
        <v>244.184319180317</v>
      </c>
      <c r="AG13">
        <v>-2370</v>
      </c>
      <c r="AH13">
        <v>-10934.346342106301</v>
      </c>
      <c r="AK13">
        <v>8961.5434999999998</v>
      </c>
      <c r="AL13">
        <v>20000</v>
      </c>
      <c r="AM13">
        <v>2252.8881600285599</v>
      </c>
      <c r="AN13">
        <v>1775.40272999542</v>
      </c>
      <c r="AP13">
        <v>-46219.666902937002</v>
      </c>
      <c r="AQ13">
        <v>-9228.9637010380593</v>
      </c>
      <c r="AR13">
        <v>46138.376537825803</v>
      </c>
      <c r="AS13">
        <v>1309.4897035174999</v>
      </c>
      <c r="AU13">
        <v>3425.2300392459902</v>
      </c>
      <c r="AX13">
        <v>1893.7861422874</v>
      </c>
      <c r="AY13">
        <v>-1694.62385092767</v>
      </c>
      <c r="AZ13">
        <v>0</v>
      </c>
      <c r="BA13">
        <v>6335.4971325440201</v>
      </c>
      <c r="BC13">
        <v>-408</v>
      </c>
      <c r="BE13">
        <f t="shared" si="0"/>
        <v>94211.584260366188</v>
      </c>
      <c r="BF13">
        <f t="shared" si="1"/>
        <v>40618634.603327781</v>
      </c>
    </row>
    <row r="14" spans="1:58" x14ac:dyDescent="0.2">
      <c r="A14" s="1">
        <v>45204</v>
      </c>
      <c r="B14">
        <v>-2198.4929101955199</v>
      </c>
      <c r="C14">
        <v>-75</v>
      </c>
      <c r="E14">
        <v>-1836</v>
      </c>
      <c r="F14">
        <v>280</v>
      </c>
      <c r="G14">
        <v>-8178.0075708534596</v>
      </c>
      <c r="I14">
        <v>10696.417281727699</v>
      </c>
      <c r="J14">
        <v>-254.85437803820301</v>
      </c>
      <c r="L14">
        <v>1734</v>
      </c>
      <c r="M14">
        <v>-1136.10000000019</v>
      </c>
      <c r="N14">
        <v>31149.627627681901</v>
      </c>
      <c r="O14">
        <v>4027.5921511640399</v>
      </c>
      <c r="P14">
        <v>2602.1621178185401</v>
      </c>
      <c r="Q14">
        <v>1162.9604253892801</v>
      </c>
      <c r="R14">
        <v>-3641.11245927445</v>
      </c>
      <c r="T14">
        <v>-1803</v>
      </c>
      <c r="U14">
        <v>5613.73748085839</v>
      </c>
      <c r="V14">
        <v>1300</v>
      </c>
      <c r="W14">
        <v>1172.7580266109301</v>
      </c>
      <c r="X14">
        <v>1854.38411399801</v>
      </c>
      <c r="Y14">
        <v>-1440</v>
      </c>
      <c r="Z14">
        <v>-20384.691659955199</v>
      </c>
      <c r="AA14">
        <v>2079.7852908101199</v>
      </c>
      <c r="AC14">
        <v>1608</v>
      </c>
      <c r="AD14">
        <v>3566.59929907476</v>
      </c>
      <c r="AE14">
        <v>-1600</v>
      </c>
      <c r="AF14">
        <v>6489.2763015580204</v>
      </c>
      <c r="AG14">
        <v>2405</v>
      </c>
      <c r="AH14">
        <v>1167.5476437933901</v>
      </c>
      <c r="AK14">
        <v>11117.982400000001</v>
      </c>
      <c r="AL14">
        <v>3722.0078051539799</v>
      </c>
      <c r="AM14">
        <v>-820.40914936904903</v>
      </c>
      <c r="AN14">
        <v>565.60254536990601</v>
      </c>
      <c r="AP14">
        <v>-38806.316865049099</v>
      </c>
      <c r="AQ14">
        <v>2604</v>
      </c>
      <c r="AR14">
        <v>14847</v>
      </c>
      <c r="AS14">
        <v>1360.0273211395199</v>
      </c>
      <c r="AU14">
        <v>6199.5861207601401</v>
      </c>
      <c r="AX14">
        <v>13795.511991249399</v>
      </c>
      <c r="AY14">
        <v>-202.257996044853</v>
      </c>
      <c r="AZ14">
        <v>0</v>
      </c>
      <c r="BA14">
        <v>-9607.2449767247999</v>
      </c>
      <c r="BC14">
        <v>-3969.7242161156901</v>
      </c>
      <c r="BE14">
        <f t="shared" si="0"/>
        <v>37168.353762537503</v>
      </c>
      <c r="BF14">
        <f t="shared" si="1"/>
        <v>40655802.957090318</v>
      </c>
    </row>
    <row r="15" spans="1:58" x14ac:dyDescent="0.2">
      <c r="A15" s="1">
        <v>45205</v>
      </c>
      <c r="B15">
        <v>-3186.2852540849099</v>
      </c>
      <c r="C15">
        <v>-1843.0047408650801</v>
      </c>
      <c r="E15">
        <v>-52.094608371838298</v>
      </c>
      <c r="F15">
        <v>-140</v>
      </c>
      <c r="G15">
        <v>94.437511186290905</v>
      </c>
      <c r="I15">
        <v>1473.84165876209</v>
      </c>
      <c r="J15">
        <v>1005.25146293034</v>
      </c>
      <c r="L15">
        <v>-1224</v>
      </c>
      <c r="M15">
        <v>-9907.8680873219892</v>
      </c>
      <c r="N15">
        <v>-29667.575649999599</v>
      </c>
      <c r="O15">
        <v>-4792.3843284723398</v>
      </c>
      <c r="P15">
        <v>290.39753820604898</v>
      </c>
      <c r="Q15">
        <v>260</v>
      </c>
      <c r="R15">
        <v>-1612.5511417107</v>
      </c>
      <c r="T15">
        <v>2916</v>
      </c>
      <c r="U15">
        <v>781</v>
      </c>
      <c r="V15">
        <v>1500</v>
      </c>
      <c r="W15">
        <v>-599.448605655508</v>
      </c>
      <c r="X15">
        <v>7245.3132109542503</v>
      </c>
      <c r="Y15">
        <v>4320</v>
      </c>
      <c r="Z15">
        <v>-23018.625693347502</v>
      </c>
      <c r="AA15">
        <v>2734.5488452592699</v>
      </c>
      <c r="AC15">
        <v>-1221</v>
      </c>
      <c r="AD15">
        <v>0</v>
      </c>
      <c r="AE15">
        <v>-13372.980817329901</v>
      </c>
      <c r="AF15">
        <v>-17994.916430041802</v>
      </c>
      <c r="AG15">
        <v>-10600</v>
      </c>
      <c r="AH15">
        <v>-588.67155888883201</v>
      </c>
      <c r="AK15">
        <v>-11861.400687617201</v>
      </c>
      <c r="AL15">
        <v>-1248.4811204918001</v>
      </c>
      <c r="AM15">
        <v>-2327.6261600658199</v>
      </c>
      <c r="AN15">
        <v>-2448</v>
      </c>
      <c r="AP15">
        <v>7834.7132089769102</v>
      </c>
      <c r="AQ15">
        <v>-2606.5760324891899</v>
      </c>
      <c r="AR15">
        <v>6363</v>
      </c>
      <c r="AS15">
        <v>-1510</v>
      </c>
      <c r="AU15">
        <v>18231.499500154299</v>
      </c>
      <c r="AX15">
        <v>-6804</v>
      </c>
      <c r="AY15">
        <v>-190.24890293485501</v>
      </c>
      <c r="AZ15">
        <v>-2208.4387200000401</v>
      </c>
      <c r="BA15">
        <v>-4885.4679617046504</v>
      </c>
      <c r="BC15">
        <v>-1627.9682028662601</v>
      </c>
      <c r="BE15">
        <f t="shared" si="0"/>
        <v>-102489.6117678303</v>
      </c>
      <c r="BF15">
        <f t="shared" si="1"/>
        <v>40553313.34532249</v>
      </c>
    </row>
    <row r="16" spans="1:58" x14ac:dyDescent="0.2">
      <c r="A16" s="1">
        <v>45208</v>
      </c>
      <c r="B16">
        <v>-414.434151747616</v>
      </c>
      <c r="C16">
        <v>1593</v>
      </c>
      <c r="E16">
        <v>-3080.6060809813898</v>
      </c>
      <c r="F16">
        <v>450</v>
      </c>
      <c r="G16">
        <v>4875.3337745160698</v>
      </c>
      <c r="I16">
        <v>-15687.303099406199</v>
      </c>
      <c r="J16">
        <v>-4628.2972192055104</v>
      </c>
      <c r="L16">
        <v>-13770</v>
      </c>
      <c r="M16">
        <v>-847.69707362490999</v>
      </c>
      <c r="N16">
        <v>-28747.767081785201</v>
      </c>
      <c r="O16">
        <v>-3595.99999999998</v>
      </c>
      <c r="P16">
        <v>-8923.6420589315203</v>
      </c>
      <c r="Q16">
        <v>-291.523027108083</v>
      </c>
      <c r="R16">
        <v>374.39742879501699</v>
      </c>
      <c r="T16">
        <v>-1995</v>
      </c>
      <c r="U16">
        <v>-2586.5948766800998</v>
      </c>
      <c r="V16">
        <v>1726.2496434080999</v>
      </c>
      <c r="W16">
        <v>-2244</v>
      </c>
      <c r="X16">
        <v>1132.1011745813801</v>
      </c>
      <c r="Y16">
        <v>990</v>
      </c>
      <c r="Z16">
        <v>-30912.9915336093</v>
      </c>
      <c r="AA16">
        <v>4554.8308255366101</v>
      </c>
      <c r="AC16">
        <v>11505</v>
      </c>
      <c r="AD16">
        <v>-6656</v>
      </c>
      <c r="AE16">
        <v>-868.317944520835</v>
      </c>
      <c r="AF16">
        <v>6539.4845970894403</v>
      </c>
      <c r="AG16">
        <v>-3306.0493777739598</v>
      </c>
      <c r="AH16">
        <v>-3507.4767377355502</v>
      </c>
      <c r="AK16">
        <v>-25625.230500000001</v>
      </c>
      <c r="AL16">
        <v>-4859.5628509635599</v>
      </c>
      <c r="AM16">
        <v>-9601.3529991525902</v>
      </c>
      <c r="AN16">
        <v>-7104.7796741512402</v>
      </c>
      <c r="AP16">
        <v>487.44112471126999</v>
      </c>
      <c r="AQ16">
        <v>23749</v>
      </c>
      <c r="AR16">
        <v>-21210</v>
      </c>
      <c r="AS16">
        <v>-2650</v>
      </c>
      <c r="AU16">
        <v>-31529.898732197998</v>
      </c>
      <c r="AX16">
        <v>-15050</v>
      </c>
      <c r="AY16">
        <v>-9951.7864000001991</v>
      </c>
      <c r="AZ16">
        <v>-10934.296755298499</v>
      </c>
      <c r="BA16">
        <v>-7343.8024972838903</v>
      </c>
      <c r="BC16">
        <v>-6610.1607688648701</v>
      </c>
      <c r="BE16">
        <f t="shared" si="0"/>
        <v>-226557.7328723851</v>
      </c>
      <c r="BF16">
        <f t="shared" si="1"/>
        <v>40326755.612450108</v>
      </c>
    </row>
    <row r="17" spans="1:58" x14ac:dyDescent="0.2">
      <c r="A17" s="1">
        <v>45209</v>
      </c>
      <c r="B17">
        <v>-8877.9277638017193</v>
      </c>
      <c r="C17">
        <v>-6480</v>
      </c>
      <c r="E17">
        <v>-7738</v>
      </c>
      <c r="F17">
        <v>0</v>
      </c>
      <c r="G17">
        <v>-3979</v>
      </c>
      <c r="I17">
        <v>22499.559980447699</v>
      </c>
      <c r="J17">
        <v>-594</v>
      </c>
      <c r="L17">
        <v>86.6910095574396</v>
      </c>
      <c r="M17">
        <v>-49032.2133135357</v>
      </c>
      <c r="N17">
        <v>-13044.9674723308</v>
      </c>
      <c r="O17">
        <v>4463.9999999998299</v>
      </c>
      <c r="P17">
        <v>-5656</v>
      </c>
      <c r="Q17">
        <v>-900</v>
      </c>
      <c r="R17">
        <v>-1100.20868484781</v>
      </c>
      <c r="T17">
        <v>759</v>
      </c>
      <c r="U17">
        <v>-11136</v>
      </c>
      <c r="V17">
        <v>3250</v>
      </c>
      <c r="W17">
        <v>1224</v>
      </c>
      <c r="X17">
        <v>16434</v>
      </c>
      <c r="Y17">
        <v>-8488.5265404781494</v>
      </c>
      <c r="Z17">
        <v>-11436.3674484887</v>
      </c>
      <c r="AA17">
        <v>4043.7053098585302</v>
      </c>
      <c r="AC17">
        <v>-1503</v>
      </c>
      <c r="AD17">
        <v>4876.4866810784297</v>
      </c>
      <c r="AE17">
        <v>155.611994952738</v>
      </c>
      <c r="AF17">
        <v>-1857.1465907019799</v>
      </c>
      <c r="AG17">
        <v>501.953857653189</v>
      </c>
      <c r="AH17">
        <v>-1324.65533237318</v>
      </c>
      <c r="AK17">
        <v>7303.9682803501701</v>
      </c>
      <c r="AL17">
        <v>-9438</v>
      </c>
      <c r="AM17">
        <v>-776.41807341517494</v>
      </c>
      <c r="AN17">
        <v>-371.103634781295</v>
      </c>
      <c r="AP17">
        <v>-74.682641755626904</v>
      </c>
      <c r="AQ17">
        <v>-5246.2194946189402</v>
      </c>
      <c r="AR17">
        <v>6863.7989619046002</v>
      </c>
      <c r="AS17">
        <v>-980</v>
      </c>
      <c r="AU17">
        <v>5716.7798532856796</v>
      </c>
      <c r="AX17">
        <v>16594.164218063699</v>
      </c>
      <c r="AY17">
        <v>-2669.6227836789099</v>
      </c>
      <c r="AZ17">
        <v>-1254.1858665325699</v>
      </c>
      <c r="BA17">
        <v>5474.2147309819802</v>
      </c>
      <c r="BC17">
        <v>-4402.7595487232102</v>
      </c>
      <c r="BE17">
        <f t="shared" si="0"/>
        <v>-58113.070311929776</v>
      </c>
      <c r="BF17">
        <f t="shared" si="1"/>
        <v>40268642.542138182</v>
      </c>
    </row>
    <row r="18" spans="1:58" x14ac:dyDescent="0.2">
      <c r="A18" s="1">
        <v>45210</v>
      </c>
      <c r="B18">
        <v>3165.16334548344</v>
      </c>
      <c r="C18">
        <v>1617.7524377165901</v>
      </c>
      <c r="E18">
        <v>4760.8704809862102</v>
      </c>
      <c r="F18">
        <v>-40</v>
      </c>
      <c r="G18">
        <v>1219.00000000001</v>
      </c>
      <c r="I18">
        <v>-1440</v>
      </c>
      <c r="J18">
        <v>1716</v>
      </c>
      <c r="L18">
        <v>-22390.562855019602</v>
      </c>
      <c r="M18">
        <v>6493.7342014603901</v>
      </c>
      <c r="N18">
        <v>-12948.5887416327</v>
      </c>
      <c r="O18">
        <v>-1082.95490579844</v>
      </c>
      <c r="P18">
        <v>4675.6537037050603</v>
      </c>
      <c r="Q18">
        <v>408.82772257136003</v>
      </c>
      <c r="R18">
        <v>-430</v>
      </c>
      <c r="T18">
        <v>651</v>
      </c>
      <c r="U18">
        <v>-3994.9136830600701</v>
      </c>
      <c r="V18">
        <v>2577.7756437518301</v>
      </c>
      <c r="W18">
        <v>96</v>
      </c>
      <c r="X18">
        <v>5654</v>
      </c>
      <c r="Y18">
        <v>-1836</v>
      </c>
      <c r="Z18">
        <v>9035.0042829924805</v>
      </c>
      <c r="AA18">
        <v>3878.61044627815</v>
      </c>
      <c r="AC18">
        <v>-318</v>
      </c>
      <c r="AD18">
        <v>-92</v>
      </c>
      <c r="AE18">
        <v>-6.1460713270468004</v>
      </c>
      <c r="AF18">
        <v>-12183.872744787799</v>
      </c>
      <c r="AG18">
        <v>-1422</v>
      </c>
      <c r="AH18">
        <v>1425.83132297307</v>
      </c>
      <c r="AK18">
        <v>-2526.1453837439199</v>
      </c>
      <c r="AL18">
        <v>1430</v>
      </c>
      <c r="AM18">
        <v>1596.3637160348601</v>
      </c>
      <c r="AN18">
        <v>868.71211457467905</v>
      </c>
      <c r="AP18">
        <v>5366.9379282201999</v>
      </c>
      <c r="AQ18">
        <v>3626.5288424299101</v>
      </c>
      <c r="AR18">
        <v>37533.496337771801</v>
      </c>
      <c r="AS18">
        <v>-2730</v>
      </c>
      <c r="AU18">
        <v>-56.236566725250803</v>
      </c>
      <c r="AX18">
        <v>-2210</v>
      </c>
      <c r="AY18">
        <v>1773.6637421712201</v>
      </c>
      <c r="AZ18">
        <v>2170.3265999999999</v>
      </c>
      <c r="BA18">
        <v>-1466.3129000000199</v>
      </c>
      <c r="BC18">
        <v>-1618.2770035420999</v>
      </c>
      <c r="BE18">
        <f t="shared" si="0"/>
        <v>32949.24201348432</v>
      </c>
      <c r="BF18">
        <f t="shared" si="1"/>
        <v>40301591.784151666</v>
      </c>
    </row>
    <row r="19" spans="1:58" x14ac:dyDescent="0.2">
      <c r="A19" s="1">
        <v>45211</v>
      </c>
      <c r="B19">
        <v>-2415</v>
      </c>
      <c r="C19">
        <v>21.584748577693599</v>
      </c>
      <c r="E19">
        <v>-3168</v>
      </c>
      <c r="F19">
        <v>-387.63403800786699</v>
      </c>
      <c r="G19">
        <v>9084.9999999999909</v>
      </c>
      <c r="I19">
        <v>-34116</v>
      </c>
      <c r="J19">
        <v>3036</v>
      </c>
      <c r="L19">
        <v>4084.88524639869</v>
      </c>
      <c r="M19">
        <v>24703.417306515599</v>
      </c>
      <c r="N19">
        <v>11612.101325631</v>
      </c>
      <c r="O19">
        <v>-15500.3584300168</v>
      </c>
      <c r="P19">
        <v>4462</v>
      </c>
      <c r="Q19">
        <v>520</v>
      </c>
      <c r="R19">
        <v>5676</v>
      </c>
      <c r="T19">
        <v>-2649</v>
      </c>
      <c r="U19">
        <v>4679.1930201346404</v>
      </c>
      <c r="V19">
        <v>-12300</v>
      </c>
      <c r="W19">
        <v>4008</v>
      </c>
      <c r="X19">
        <v>-9133.9523634730795</v>
      </c>
      <c r="Y19">
        <v>13750.214009241499</v>
      </c>
      <c r="Z19">
        <v>-8463</v>
      </c>
      <c r="AA19">
        <v>-14395.299742064</v>
      </c>
      <c r="AC19">
        <v>-3822</v>
      </c>
      <c r="AD19">
        <v>894</v>
      </c>
      <c r="AE19">
        <v>640</v>
      </c>
      <c r="AF19">
        <v>7394.0260806339102</v>
      </c>
      <c r="AG19">
        <v>1815.15449027762</v>
      </c>
      <c r="AH19">
        <v>0</v>
      </c>
      <c r="AK19">
        <v>-4989.0507618038</v>
      </c>
      <c r="AL19">
        <v>13156</v>
      </c>
      <c r="AM19">
        <v>15</v>
      </c>
      <c r="AN19">
        <v>-55</v>
      </c>
      <c r="AP19">
        <v>2048</v>
      </c>
      <c r="AQ19">
        <v>-11345.4288727452</v>
      </c>
      <c r="AR19">
        <v>-6552.8061133213696</v>
      </c>
      <c r="AS19">
        <v>-8460</v>
      </c>
      <c r="AU19">
        <v>-46214.987425253799</v>
      </c>
      <c r="AX19">
        <v>-26975</v>
      </c>
      <c r="AY19">
        <v>-1205.09069999996</v>
      </c>
      <c r="AZ19">
        <v>-251.722123543218</v>
      </c>
      <c r="BA19">
        <v>943.45235874687296</v>
      </c>
      <c r="BC19">
        <v>213.95038307990799</v>
      </c>
      <c r="BE19">
        <f t="shared" si="0"/>
        <v>-99641.351600991678</v>
      </c>
      <c r="BF19">
        <f t="shared" si="1"/>
        <v>40201950.432550676</v>
      </c>
    </row>
    <row r="20" spans="1:58" x14ac:dyDescent="0.2">
      <c r="A20" s="1">
        <v>45212</v>
      </c>
      <c r="B20">
        <v>4505.6366161810602</v>
      </c>
      <c r="C20">
        <v>0</v>
      </c>
      <c r="E20">
        <v>660.84895175583995</v>
      </c>
      <c r="F20">
        <v>-123.15194520567</v>
      </c>
      <c r="G20">
        <v>721.108876514028</v>
      </c>
      <c r="I20">
        <v>-12640.342618009599</v>
      </c>
      <c r="J20">
        <v>1498.7049330922</v>
      </c>
      <c r="L20">
        <v>884.45165955697701</v>
      </c>
      <c r="M20">
        <v>-10263.684422279001</v>
      </c>
      <c r="N20">
        <v>-27364.744959999902</v>
      </c>
      <c r="O20">
        <v>-8258.9830860111506</v>
      </c>
      <c r="P20">
        <v>-1288</v>
      </c>
      <c r="Q20">
        <v>-260</v>
      </c>
      <c r="R20">
        <v>-2037.57096523223</v>
      </c>
      <c r="T20">
        <v>444.95450918343499</v>
      </c>
      <c r="U20">
        <v>-1296</v>
      </c>
      <c r="V20">
        <v>4125</v>
      </c>
      <c r="W20">
        <v>-348</v>
      </c>
      <c r="X20">
        <v>9360</v>
      </c>
      <c r="Y20">
        <v>-7683.2768432358198</v>
      </c>
      <c r="Z20">
        <v>-5832.4227323369896</v>
      </c>
      <c r="AA20">
        <v>5486.2370022381101</v>
      </c>
      <c r="AC20">
        <v>-762</v>
      </c>
      <c r="AD20">
        <v>-1848.01995089448</v>
      </c>
      <c r="AE20">
        <v>-24</v>
      </c>
      <c r="AF20">
        <v>-636</v>
      </c>
      <c r="AG20">
        <v>1990</v>
      </c>
      <c r="AH20">
        <v>0</v>
      </c>
      <c r="AK20">
        <v>-4284.4155359713995</v>
      </c>
      <c r="AL20">
        <v>6006</v>
      </c>
      <c r="AM20">
        <v>195</v>
      </c>
      <c r="AN20">
        <v>130</v>
      </c>
      <c r="AP20">
        <v>-723.21243381633201</v>
      </c>
      <c r="AQ20">
        <v>15920</v>
      </c>
      <c r="AR20">
        <v>13969.823844498</v>
      </c>
      <c r="AS20">
        <v>2682.4345831896899</v>
      </c>
      <c r="AU20">
        <v>-7582.7236703681201</v>
      </c>
      <c r="AX20">
        <v>-7478.9236463503003</v>
      </c>
      <c r="AY20">
        <v>-213.086632675163</v>
      </c>
      <c r="AZ20">
        <v>-513.38901384407302</v>
      </c>
      <c r="BA20">
        <v>605.53619999996499</v>
      </c>
      <c r="BC20">
        <v>-38.079959533544603</v>
      </c>
      <c r="BE20">
        <f t="shared" si="0"/>
        <v>-32314.291239554474</v>
      </c>
      <c r="BF20">
        <f t="shared" si="1"/>
        <v>40169636.141311124</v>
      </c>
    </row>
    <row r="21" spans="1:58" x14ac:dyDescent="0.2">
      <c r="A21" s="1">
        <v>45215</v>
      </c>
      <c r="B21">
        <v>-1059.4187299973501</v>
      </c>
      <c r="C21">
        <v>0</v>
      </c>
      <c r="E21">
        <v>-330.28598811753699</v>
      </c>
      <c r="F21">
        <v>-100</v>
      </c>
      <c r="G21">
        <v>572.71647025545406</v>
      </c>
      <c r="I21">
        <v>2108.8985225688698</v>
      </c>
      <c r="J21">
        <v>-8006.2579638219104</v>
      </c>
      <c r="L21">
        <v>-13287.464887845699</v>
      </c>
      <c r="M21">
        <v>-5207.99999999997</v>
      </c>
      <c r="N21">
        <v>-3364.9631828838501</v>
      </c>
      <c r="O21">
        <v>991.83504725756404</v>
      </c>
      <c r="P21">
        <v>-598</v>
      </c>
      <c r="Q21">
        <v>60</v>
      </c>
      <c r="R21">
        <v>-1144</v>
      </c>
      <c r="T21">
        <v>1313.59726905446</v>
      </c>
      <c r="U21">
        <v>-672</v>
      </c>
      <c r="V21">
        <v>12525</v>
      </c>
      <c r="W21">
        <v>4160.0775338795002</v>
      </c>
      <c r="X21">
        <v>6312</v>
      </c>
      <c r="Y21">
        <v>-8624</v>
      </c>
      <c r="Z21">
        <v>-5865.6058450330102</v>
      </c>
      <c r="AA21">
        <v>16435</v>
      </c>
      <c r="AC21">
        <v>6426</v>
      </c>
      <c r="AD21">
        <v>21.830266499554298</v>
      </c>
      <c r="AE21">
        <v>-1192</v>
      </c>
      <c r="AF21">
        <v>204</v>
      </c>
      <c r="AG21">
        <v>24</v>
      </c>
      <c r="AH21">
        <v>0</v>
      </c>
      <c r="AK21">
        <v>-944.48706860167295</v>
      </c>
      <c r="AL21">
        <v>-18374.638082405301</v>
      </c>
      <c r="AM21">
        <v>-1515</v>
      </c>
      <c r="AN21">
        <v>-572</v>
      </c>
      <c r="AP21">
        <v>-3533.0753188307799</v>
      </c>
      <c r="AQ21">
        <v>35820</v>
      </c>
      <c r="AR21">
        <v>30575.7061301881</v>
      </c>
      <c r="AS21">
        <v>1325.5627359913501</v>
      </c>
      <c r="AU21">
        <v>-4773.4583609957299</v>
      </c>
      <c r="AV21">
        <v>0</v>
      </c>
      <c r="AX21">
        <v>1150.3920734856399</v>
      </c>
      <c r="AY21">
        <v>1381.295540349</v>
      </c>
      <c r="AZ21">
        <v>0</v>
      </c>
      <c r="BA21">
        <v>-779.34359999995502</v>
      </c>
      <c r="BC21">
        <v>-54</v>
      </c>
      <c r="BE21">
        <f t="shared" si="0"/>
        <v>41409.912560996716</v>
      </c>
      <c r="BF21">
        <f t="shared" si="1"/>
        <v>40211046.053872123</v>
      </c>
    </row>
    <row r="22" spans="1:58" x14ac:dyDescent="0.2">
      <c r="A22" s="1">
        <v>45216</v>
      </c>
      <c r="B22">
        <v>-1001</v>
      </c>
      <c r="C22">
        <v>-56.964880922743703</v>
      </c>
      <c r="E22">
        <v>-823.43879254702904</v>
      </c>
      <c r="F22">
        <v>-230.10162251365699</v>
      </c>
      <c r="G22">
        <v>-3164.6573747161601</v>
      </c>
      <c r="I22">
        <v>796.300950230995</v>
      </c>
      <c r="J22">
        <v>-1378.1767478885099</v>
      </c>
      <c r="L22">
        <v>2998.9029290025301</v>
      </c>
      <c r="M22">
        <v>-5769.2947880056199</v>
      </c>
      <c r="N22">
        <v>-1120.8889980613501</v>
      </c>
      <c r="O22">
        <v>694.19866225978399</v>
      </c>
      <c r="P22">
        <v>-9936</v>
      </c>
      <c r="Q22">
        <v>129.23873698910899</v>
      </c>
      <c r="R22">
        <v>-2717</v>
      </c>
      <c r="T22">
        <v>-133.102110411669</v>
      </c>
      <c r="U22">
        <v>-1524.2849191453499</v>
      </c>
      <c r="V22">
        <v>9975</v>
      </c>
      <c r="W22">
        <v>1482.26652956932</v>
      </c>
      <c r="X22">
        <v>2040</v>
      </c>
      <c r="Y22">
        <v>-7251.3701895403301</v>
      </c>
      <c r="Z22">
        <v>-4747.1623460353203</v>
      </c>
      <c r="AA22">
        <v>11989</v>
      </c>
      <c r="AC22">
        <v>-1263</v>
      </c>
      <c r="AD22">
        <v>321.93032183096699</v>
      </c>
      <c r="AE22">
        <v>34.558396023526697</v>
      </c>
      <c r="AF22">
        <v>-414</v>
      </c>
      <c r="AG22">
        <v>2187</v>
      </c>
      <c r="AH22">
        <v>-5.9425311688508398</v>
      </c>
      <c r="AK22">
        <v>370.92632886694997</v>
      </c>
      <c r="AL22">
        <v>-14083.682807888699</v>
      </c>
      <c r="AM22">
        <v>-675.46242856443803</v>
      </c>
      <c r="AN22">
        <v>-177.11786201760199</v>
      </c>
      <c r="AP22">
        <v>728</v>
      </c>
      <c r="AQ22">
        <v>21293</v>
      </c>
      <c r="AR22">
        <v>640.84536515454897</v>
      </c>
      <c r="AS22">
        <v>531</v>
      </c>
      <c r="AU22">
        <v>6421.3093493972101</v>
      </c>
      <c r="AV22">
        <v>0</v>
      </c>
      <c r="AX22">
        <v>1136.6975783191699</v>
      </c>
      <c r="AY22">
        <v>-416.24290951558402</v>
      </c>
      <c r="AZ22">
        <v>0</v>
      </c>
      <c r="BA22">
        <v>-292.25385000001103</v>
      </c>
      <c r="BC22">
        <v>1566</v>
      </c>
      <c r="BE22">
        <f t="shared" si="0"/>
        <v>8155.0299887011824</v>
      </c>
      <c r="BF22">
        <f t="shared" si="1"/>
        <v>40219201.083860822</v>
      </c>
    </row>
    <row r="23" spans="1:58" x14ac:dyDescent="0.2">
      <c r="A23" s="1">
        <v>45217</v>
      </c>
      <c r="B23">
        <v>1334.26031503285</v>
      </c>
      <c r="C23">
        <v>140</v>
      </c>
      <c r="E23">
        <v>110.118441506979</v>
      </c>
      <c r="F23">
        <v>-394.238159219534</v>
      </c>
      <c r="G23">
        <v>4292.99999999992</v>
      </c>
      <c r="I23">
        <v>0</v>
      </c>
      <c r="J23">
        <v>2571.6759580990001</v>
      </c>
      <c r="L23">
        <v>3033.5040374708501</v>
      </c>
      <c r="M23">
        <v>-3101.0703098389999</v>
      </c>
      <c r="N23">
        <v>-4671.7851894670703</v>
      </c>
      <c r="O23">
        <v>59.9999999999933</v>
      </c>
      <c r="P23">
        <v>2027.0734115769601</v>
      </c>
      <c r="Q23">
        <v>-99.974000216143693</v>
      </c>
      <c r="R23">
        <v>1716</v>
      </c>
      <c r="T23">
        <v>-931.54445966161802</v>
      </c>
      <c r="U23">
        <v>-145.42464080274499</v>
      </c>
      <c r="V23">
        <v>-6300</v>
      </c>
      <c r="W23">
        <v>-1046.1231275417499</v>
      </c>
      <c r="X23">
        <v>10212.1372884096</v>
      </c>
      <c r="Y23">
        <v>-257.48438854531099</v>
      </c>
      <c r="Z23">
        <v>3581.5395566013399</v>
      </c>
      <c r="AA23">
        <v>-7182.00000000003</v>
      </c>
      <c r="AC23">
        <v>4737</v>
      </c>
      <c r="AD23">
        <v>538</v>
      </c>
      <c r="AE23">
        <v>-332.89755625401199</v>
      </c>
      <c r="AF23">
        <v>-423.25695982011501</v>
      </c>
      <c r="AG23">
        <v>-258.56252427486498</v>
      </c>
      <c r="AH23">
        <v>-388.37443398287701</v>
      </c>
      <c r="AK23">
        <v>-1596.0944424506099</v>
      </c>
      <c r="AL23">
        <v>9219.6242974071902</v>
      </c>
      <c r="AM23">
        <v>-66.761204310462702</v>
      </c>
      <c r="AN23">
        <v>-566.36065655690595</v>
      </c>
      <c r="AP23">
        <v>3913</v>
      </c>
      <c r="AQ23">
        <v>-7960</v>
      </c>
      <c r="AR23">
        <v>-328.88139263095098</v>
      </c>
      <c r="AS23">
        <v>150</v>
      </c>
      <c r="AU23">
        <v>5976</v>
      </c>
      <c r="AV23">
        <v>0</v>
      </c>
      <c r="AX23">
        <v>-131</v>
      </c>
      <c r="AY23">
        <v>-201.98835398541601</v>
      </c>
      <c r="AZ23">
        <v>2036.9059199999899</v>
      </c>
      <c r="BA23">
        <v>1210.0639200000001</v>
      </c>
      <c r="BC23">
        <v>-1057.1844682037799</v>
      </c>
      <c r="BE23">
        <f t="shared" si="0"/>
        <v>19418.896878341475</v>
      </c>
      <c r="BF23">
        <f t="shared" si="1"/>
        <v>40238619.980739161</v>
      </c>
    </row>
    <row r="24" spans="1:58" x14ac:dyDescent="0.2">
      <c r="A24" s="1">
        <v>45218</v>
      </c>
      <c r="B24">
        <v>225</v>
      </c>
      <c r="C24">
        <v>-406</v>
      </c>
      <c r="E24">
        <v>88</v>
      </c>
      <c r="F24">
        <v>513.63070370790297</v>
      </c>
      <c r="G24">
        <v>5743.2933703589097</v>
      </c>
      <c r="I24">
        <v>0</v>
      </c>
      <c r="J24">
        <v>-1911</v>
      </c>
      <c r="L24">
        <v>-912</v>
      </c>
      <c r="M24">
        <v>3705.5845372769099</v>
      </c>
      <c r="N24">
        <v>-1802.48524776055</v>
      </c>
      <c r="O24">
        <v>-640</v>
      </c>
      <c r="P24">
        <v>-1735.52106606652</v>
      </c>
      <c r="Q24">
        <v>1380.3757406874199</v>
      </c>
      <c r="R24">
        <v>-15158</v>
      </c>
      <c r="T24">
        <v>-328</v>
      </c>
      <c r="U24">
        <v>1719.43477982281</v>
      </c>
      <c r="V24">
        <v>-300</v>
      </c>
      <c r="W24">
        <v>11.5730530732458</v>
      </c>
      <c r="X24">
        <v>36109.943090640401</v>
      </c>
      <c r="Y24">
        <v>3666.1306692684402</v>
      </c>
      <c r="Z24">
        <v>-598</v>
      </c>
      <c r="AA24">
        <v>-360.99999999993003</v>
      </c>
      <c r="AC24">
        <v>-6855</v>
      </c>
      <c r="AD24">
        <v>-664.74932811621397</v>
      </c>
      <c r="AE24">
        <v>-71.852137525771397</v>
      </c>
      <c r="AF24">
        <v>9.7230717411779501</v>
      </c>
      <c r="AG24">
        <v>-1030</v>
      </c>
      <c r="AH24">
        <v>-1068.1404449736201</v>
      </c>
      <c r="AK24">
        <v>2664.0837648841898</v>
      </c>
      <c r="AL24">
        <v>1010</v>
      </c>
      <c r="AM24">
        <v>340</v>
      </c>
      <c r="AN24">
        <v>372</v>
      </c>
      <c r="AP24">
        <v>-2305.3726270457901</v>
      </c>
      <c r="AQ24">
        <v>-4776</v>
      </c>
      <c r="AR24">
        <v>1170.9334640434699</v>
      </c>
      <c r="AS24">
        <v>-768</v>
      </c>
      <c r="AU24">
        <v>249</v>
      </c>
      <c r="AV24">
        <v>0</v>
      </c>
      <c r="AX24">
        <v>-512</v>
      </c>
      <c r="AY24">
        <v>657.59667999999101</v>
      </c>
      <c r="AZ24">
        <v>-907.43871157065905</v>
      </c>
      <c r="BA24">
        <v>-845.94413463043099</v>
      </c>
      <c r="BC24">
        <v>128</v>
      </c>
      <c r="BE24">
        <f t="shared" si="0"/>
        <v>15807.799227815383</v>
      </c>
      <c r="BF24">
        <f t="shared" si="1"/>
        <v>40254427.77996698</v>
      </c>
    </row>
    <row r="25" spans="1:58" x14ac:dyDescent="0.2">
      <c r="A25" s="1">
        <v>45219</v>
      </c>
      <c r="B25">
        <v>-1070</v>
      </c>
      <c r="C25">
        <v>-476</v>
      </c>
      <c r="E25">
        <v>128</v>
      </c>
      <c r="F25">
        <v>-3923.1586828571299</v>
      </c>
      <c r="G25">
        <v>19564.175695106202</v>
      </c>
      <c r="I25">
        <v>0</v>
      </c>
      <c r="J25">
        <v>-7342.7373214764002</v>
      </c>
      <c r="L25">
        <v>-1128</v>
      </c>
      <c r="M25">
        <v>229.099999999971</v>
      </c>
      <c r="N25">
        <v>-3626.8557461140699</v>
      </c>
      <c r="O25">
        <v>-717.17842590172995</v>
      </c>
      <c r="P25">
        <v>-1975.3438016160001</v>
      </c>
      <c r="Q25">
        <v>1252.6801906236501</v>
      </c>
      <c r="R25">
        <v>5862.7576556971298</v>
      </c>
      <c r="T25">
        <v>8</v>
      </c>
      <c r="U25">
        <v>-149.94458478885099</v>
      </c>
      <c r="V25">
        <v>4950</v>
      </c>
      <c r="W25">
        <v>-2475</v>
      </c>
      <c r="X25">
        <v>-4966</v>
      </c>
      <c r="Y25">
        <v>-1090</v>
      </c>
      <c r="Z25">
        <v>-276</v>
      </c>
      <c r="AA25">
        <v>5662.00000000003</v>
      </c>
      <c r="AC25">
        <v>897</v>
      </c>
      <c r="AD25">
        <v>0</v>
      </c>
      <c r="AE25">
        <v>-700</v>
      </c>
      <c r="AF25">
        <v>-343</v>
      </c>
      <c r="AG25">
        <v>-60</v>
      </c>
      <c r="AH25">
        <v>10043.044240093899</v>
      </c>
      <c r="AK25">
        <v>12240.651657353001</v>
      </c>
      <c r="AL25">
        <v>-15352</v>
      </c>
      <c r="AM25">
        <v>365</v>
      </c>
      <c r="AN25">
        <v>660</v>
      </c>
      <c r="AP25">
        <v>472</v>
      </c>
      <c r="AQ25">
        <v>14129</v>
      </c>
      <c r="AR25">
        <v>-2570.6364250822498</v>
      </c>
      <c r="AS25">
        <v>-858</v>
      </c>
      <c r="AU25">
        <v>3848.4630142593601</v>
      </c>
      <c r="AV25">
        <v>0</v>
      </c>
      <c r="AX25">
        <v>-1643.6873071555001</v>
      </c>
      <c r="AY25">
        <v>-1342.3054675804699</v>
      </c>
      <c r="AZ25">
        <v>6719.7591462673199</v>
      </c>
      <c r="BA25">
        <v>1521.0374400000501</v>
      </c>
      <c r="BC25">
        <v>-2624</v>
      </c>
      <c r="BE25">
        <f t="shared" si="0"/>
        <v>33842.821276828203</v>
      </c>
      <c r="BF25">
        <f t="shared" si="1"/>
        <v>40288270.601243809</v>
      </c>
    </row>
    <row r="26" spans="1:58" x14ac:dyDescent="0.2">
      <c r="A26" s="1">
        <v>45222</v>
      </c>
      <c r="B26">
        <v>-310</v>
      </c>
      <c r="C26">
        <v>446.037045240434</v>
      </c>
      <c r="E26">
        <v>-84.119626856592603</v>
      </c>
      <c r="F26">
        <v>2552.5996584181999</v>
      </c>
      <c r="G26">
        <v>12149.216896838299</v>
      </c>
      <c r="I26">
        <v>-40.633237447473299</v>
      </c>
      <c r="J26">
        <v>-773.752255509571</v>
      </c>
      <c r="L26">
        <v>1512</v>
      </c>
      <c r="M26">
        <v>5498.4000000000196</v>
      </c>
      <c r="N26">
        <v>-32.9011054624889</v>
      </c>
      <c r="O26">
        <v>-962.25973237048402</v>
      </c>
      <c r="P26">
        <v>-799.34086101983303</v>
      </c>
      <c r="Q26">
        <v>3154.1765259661202</v>
      </c>
      <c r="R26">
        <v>-100</v>
      </c>
      <c r="T26">
        <v>-552</v>
      </c>
      <c r="U26">
        <v>5020.8312734420697</v>
      </c>
      <c r="V26">
        <v>-900</v>
      </c>
      <c r="W26">
        <v>-5450</v>
      </c>
      <c r="X26">
        <v>4238</v>
      </c>
      <c r="Y26">
        <v>-350</v>
      </c>
      <c r="Z26">
        <v>727.91308292119402</v>
      </c>
      <c r="AA26">
        <v>-855</v>
      </c>
      <c r="AC26">
        <v>-5702.0448911099802</v>
      </c>
      <c r="AD26">
        <v>1768</v>
      </c>
      <c r="AE26">
        <v>197.65813141717399</v>
      </c>
      <c r="AF26">
        <v>357</v>
      </c>
      <c r="AG26">
        <v>-402</v>
      </c>
      <c r="AH26">
        <v>6489.1115952535902</v>
      </c>
      <c r="AK26">
        <v>6699.5363575445299</v>
      </c>
      <c r="AL26">
        <v>3221.2641004960101</v>
      </c>
      <c r="AM26">
        <v>660</v>
      </c>
      <c r="AN26">
        <v>300</v>
      </c>
      <c r="AP26">
        <v>4012</v>
      </c>
      <c r="AQ26">
        <v>5962.7014368939999</v>
      </c>
      <c r="AR26">
        <v>279.61620905380602</v>
      </c>
      <c r="AS26">
        <v>-530.53252413750397</v>
      </c>
      <c r="AU26">
        <v>3110.2174771739601</v>
      </c>
      <c r="AV26">
        <v>-540.22578913727602</v>
      </c>
      <c r="AX26">
        <v>-35.193134287768203</v>
      </c>
      <c r="AY26">
        <v>-14691.7257299997</v>
      </c>
      <c r="AZ26">
        <v>2003.4685427485999</v>
      </c>
      <c r="BA26">
        <v>-623.67658207706199</v>
      </c>
      <c r="BC26">
        <v>2619.3227414901899</v>
      </c>
      <c r="BE26">
        <f t="shared" si="0"/>
        <v>39243.665605482456</v>
      </c>
      <c r="BF26">
        <f t="shared" si="1"/>
        <v>40327514.266849294</v>
      </c>
    </row>
    <row r="27" spans="1:58" x14ac:dyDescent="0.2">
      <c r="A27" s="1">
        <v>45223</v>
      </c>
      <c r="B27">
        <v>295.50663891580501</v>
      </c>
      <c r="C27">
        <v>243</v>
      </c>
      <c r="E27">
        <v>-617.03887383920005</v>
      </c>
      <c r="F27">
        <v>780</v>
      </c>
      <c r="G27">
        <v>14407.8837375766</v>
      </c>
      <c r="I27">
        <v>3127.19763245686</v>
      </c>
      <c r="J27">
        <v>-916.03819242495103</v>
      </c>
      <c r="L27">
        <v>-4.2273217579487099</v>
      </c>
      <c r="M27">
        <v>3128.4000000000201</v>
      </c>
      <c r="N27">
        <v>-843.96664000006103</v>
      </c>
      <c r="O27">
        <v>789.34113526922295</v>
      </c>
      <c r="P27">
        <v>-181.61675797610101</v>
      </c>
      <c r="Q27">
        <v>-3044.6246653619401</v>
      </c>
      <c r="R27">
        <v>170</v>
      </c>
      <c r="T27">
        <v>-924</v>
      </c>
      <c r="U27">
        <v>4830.9035904081902</v>
      </c>
      <c r="V27">
        <v>-2175</v>
      </c>
      <c r="W27">
        <v>8375.1325675342705</v>
      </c>
      <c r="X27">
        <v>21372</v>
      </c>
      <c r="Y27">
        <v>-3690</v>
      </c>
      <c r="Z27">
        <v>-1577</v>
      </c>
      <c r="AA27">
        <v>-1748.0000000001301</v>
      </c>
      <c r="AC27">
        <v>-2321.3957200468499</v>
      </c>
      <c r="AD27">
        <v>-1189.2087824933999</v>
      </c>
      <c r="AE27">
        <v>-25.721522004766399</v>
      </c>
      <c r="AF27">
        <v>-574.89536768609605</v>
      </c>
      <c r="AG27">
        <v>-2684</v>
      </c>
      <c r="AH27">
        <v>12867.5020054169</v>
      </c>
      <c r="AK27">
        <v>6086.6263059370103</v>
      </c>
      <c r="AL27">
        <v>-2130.6918563649601</v>
      </c>
      <c r="AM27">
        <v>-112.23520941214301</v>
      </c>
      <c r="AN27">
        <v>42</v>
      </c>
      <c r="AP27">
        <v>6580.8565839031598</v>
      </c>
      <c r="AQ27">
        <v>-3857.2486176094899</v>
      </c>
      <c r="AR27">
        <v>22120</v>
      </c>
      <c r="AS27">
        <v>-71.083305840914406</v>
      </c>
      <c r="AU27">
        <v>-10096.951169177</v>
      </c>
      <c r="AV27">
        <v>2429.8274180334502</v>
      </c>
      <c r="AX27">
        <v>2991.4469265613102</v>
      </c>
      <c r="AY27">
        <v>-2196.1698552882599</v>
      </c>
      <c r="AZ27">
        <v>-9077.5084019715396</v>
      </c>
      <c r="BA27">
        <v>1536.0216000000501</v>
      </c>
      <c r="BC27">
        <v>1100</v>
      </c>
      <c r="BE27">
        <f t="shared" si="0"/>
        <v>63215.023882757087</v>
      </c>
      <c r="BF27">
        <f t="shared" si="1"/>
        <v>40390729.290732048</v>
      </c>
    </row>
    <row r="28" spans="1:58" x14ac:dyDescent="0.2">
      <c r="A28" s="1">
        <v>45224</v>
      </c>
      <c r="B28">
        <v>-592</v>
      </c>
      <c r="C28">
        <v>621</v>
      </c>
      <c r="E28">
        <v>5869.7765249890399</v>
      </c>
      <c r="F28">
        <v>130</v>
      </c>
      <c r="G28">
        <v>1109.4451076801499</v>
      </c>
      <c r="I28">
        <v>-1132.8861861355599</v>
      </c>
      <c r="J28">
        <v>-280.31077316108298</v>
      </c>
      <c r="L28">
        <v>1107.5061063773801</v>
      </c>
      <c r="M28">
        <v>794.67745300792797</v>
      </c>
      <c r="N28">
        <v>1647.92094000005</v>
      </c>
      <c r="O28">
        <v>306.97946956167499</v>
      </c>
      <c r="P28">
        <v>107.324449193921</v>
      </c>
      <c r="Q28">
        <v>690.86032735753497</v>
      </c>
      <c r="R28">
        <v>-300</v>
      </c>
      <c r="T28">
        <v>865.43526253256903</v>
      </c>
      <c r="U28">
        <v>2007.9552093833299</v>
      </c>
      <c r="V28">
        <v>-75</v>
      </c>
      <c r="W28">
        <v>-5911</v>
      </c>
      <c r="X28">
        <v>18772</v>
      </c>
      <c r="Y28">
        <v>-4852.6367498488598</v>
      </c>
      <c r="Z28">
        <v>-323</v>
      </c>
      <c r="AA28">
        <v>-933.46494241936398</v>
      </c>
      <c r="AC28">
        <v>-60.641533374356797</v>
      </c>
      <c r="AD28">
        <v>20</v>
      </c>
      <c r="AE28">
        <v>-159</v>
      </c>
      <c r="AF28">
        <v>-693</v>
      </c>
      <c r="AG28">
        <v>2084</v>
      </c>
      <c r="AH28">
        <v>-18843.029138850201</v>
      </c>
      <c r="AK28">
        <v>-429.02429077819397</v>
      </c>
      <c r="AL28">
        <v>4354.3120062640401</v>
      </c>
      <c r="AM28">
        <v>1469.88108268833</v>
      </c>
      <c r="AN28">
        <v>1776</v>
      </c>
      <c r="AP28">
        <v>1672.36616463055</v>
      </c>
      <c r="AQ28">
        <v>19317.6174415276</v>
      </c>
      <c r="AR28">
        <v>-6440</v>
      </c>
      <c r="AS28">
        <v>-1449</v>
      </c>
      <c r="AU28">
        <v>-1305</v>
      </c>
      <c r="AV28">
        <v>-1137.92415567077</v>
      </c>
      <c r="AX28">
        <v>-38.078597010510798</v>
      </c>
      <c r="AY28">
        <v>0</v>
      </c>
      <c r="AZ28">
        <v>-3416.5359199998902</v>
      </c>
      <c r="BA28">
        <v>-1714.92707324822</v>
      </c>
      <c r="BC28">
        <v>-163.730266756622</v>
      </c>
      <c r="BE28">
        <f t="shared" si="0"/>
        <v>14474.867917940463</v>
      </c>
      <c r="BF28">
        <f t="shared" si="1"/>
        <v>40405204.158649988</v>
      </c>
    </row>
    <row r="29" spans="1:58" x14ac:dyDescent="0.2">
      <c r="A29" s="1">
        <v>45225</v>
      </c>
      <c r="B29">
        <v>-792</v>
      </c>
      <c r="C29">
        <v>828.98015046757905</v>
      </c>
      <c r="E29">
        <v>4694.5740872873503</v>
      </c>
      <c r="F29">
        <v>0</v>
      </c>
      <c r="G29">
        <v>-5530.4150114612103</v>
      </c>
      <c r="I29">
        <v>374.95332018635497</v>
      </c>
      <c r="J29">
        <v>-1886.3976163956099</v>
      </c>
      <c r="L29">
        <v>2557.2331502347301</v>
      </c>
      <c r="M29">
        <v>-4668.7070063118899</v>
      </c>
      <c r="N29">
        <v>-12.302575985460001</v>
      </c>
      <c r="O29">
        <v>-3860.6569368268201</v>
      </c>
      <c r="P29">
        <v>-4257.6528823225699</v>
      </c>
      <c r="Q29">
        <v>4302.0150843255096</v>
      </c>
      <c r="R29">
        <v>-480</v>
      </c>
      <c r="T29">
        <v>-730</v>
      </c>
      <c r="U29">
        <v>-13179.8696651051</v>
      </c>
      <c r="V29">
        <v>-13650</v>
      </c>
      <c r="W29">
        <v>-1603.01325146572</v>
      </c>
      <c r="X29">
        <v>-3900</v>
      </c>
      <c r="Y29">
        <v>888.88463995215602</v>
      </c>
      <c r="Z29">
        <v>393.39588118041002</v>
      </c>
      <c r="AA29">
        <v>-17728.167768812698</v>
      </c>
      <c r="AC29">
        <v>2185</v>
      </c>
      <c r="AD29">
        <v>-480</v>
      </c>
      <c r="AE29">
        <v>228</v>
      </c>
      <c r="AF29">
        <v>-46.909813035892299</v>
      </c>
      <c r="AG29">
        <v>-3500</v>
      </c>
      <c r="AH29">
        <v>25200</v>
      </c>
      <c r="AK29">
        <v>-16909.2408278984</v>
      </c>
      <c r="AL29">
        <v>1920</v>
      </c>
      <c r="AM29">
        <v>-2703.235209078</v>
      </c>
      <c r="AN29">
        <v>-2553.57991363781</v>
      </c>
      <c r="AP29">
        <v>12475.446432683601</v>
      </c>
      <c r="AQ29">
        <v>-12465.825298883699</v>
      </c>
      <c r="AR29">
        <v>-8400</v>
      </c>
      <c r="AS29">
        <v>2222.27080483496</v>
      </c>
      <c r="AU29">
        <v>17400</v>
      </c>
      <c r="AV29">
        <v>1606.8931972799101</v>
      </c>
      <c r="AX29">
        <v>-3364.39150059237</v>
      </c>
      <c r="AY29">
        <v>0</v>
      </c>
      <c r="AZ29">
        <v>-7064.9706410085801</v>
      </c>
      <c r="BA29">
        <v>7712.8713999998999</v>
      </c>
      <c r="BC29">
        <v>1421.19386021323</v>
      </c>
      <c r="BE29">
        <f t="shared" si="0"/>
        <v>-43355.623910176131</v>
      </c>
      <c r="BF29">
        <f t="shared" si="1"/>
        <v>40361848.534739815</v>
      </c>
    </row>
    <row r="30" spans="1:58" x14ac:dyDescent="0.2">
      <c r="A30" s="1">
        <v>45226</v>
      </c>
      <c r="B30">
        <v>-977.24964794245795</v>
      </c>
      <c r="C30">
        <v>281.095857706777</v>
      </c>
      <c r="E30">
        <v>9510.3961085727296</v>
      </c>
      <c r="F30">
        <v>0</v>
      </c>
      <c r="G30">
        <v>-7297.2875505360498</v>
      </c>
      <c r="I30">
        <v>-7098</v>
      </c>
      <c r="J30">
        <v>9624</v>
      </c>
      <c r="L30">
        <v>2360.4921254917899</v>
      </c>
      <c r="M30">
        <v>-1137.5999999999401</v>
      </c>
      <c r="N30">
        <v>-391.232940000067</v>
      </c>
      <c r="O30">
        <v>-5300.99999999999</v>
      </c>
      <c r="P30">
        <v>-1722.6595687501001</v>
      </c>
      <c r="Q30">
        <v>3366.9726880158701</v>
      </c>
      <c r="R30">
        <v>-312.20864517247099</v>
      </c>
      <c r="T30">
        <v>387.51497847649199</v>
      </c>
      <c r="U30">
        <v>11517.975280660399</v>
      </c>
      <c r="V30">
        <v>2075.7624822399198</v>
      </c>
      <c r="W30">
        <v>8051.7571708987498</v>
      </c>
      <c r="X30">
        <v>21762</v>
      </c>
      <c r="Y30">
        <v>-552</v>
      </c>
      <c r="Z30">
        <v>-336</v>
      </c>
      <c r="AA30">
        <v>1611.2024722454901</v>
      </c>
      <c r="AC30">
        <v>275.05921117672301</v>
      </c>
      <c r="AD30">
        <v>-906.19504722085901</v>
      </c>
      <c r="AE30">
        <v>282</v>
      </c>
      <c r="AF30">
        <v>2326.4376060388499</v>
      </c>
      <c r="AG30">
        <v>-1288.56459532189</v>
      </c>
      <c r="AH30">
        <v>-8820</v>
      </c>
      <c r="AK30">
        <v>-4890.4117500000002</v>
      </c>
      <c r="AL30">
        <v>-683.28668912387297</v>
      </c>
      <c r="AM30">
        <v>418</v>
      </c>
      <c r="AN30">
        <v>530</v>
      </c>
      <c r="AP30">
        <v>33080.561212690904</v>
      </c>
      <c r="AQ30">
        <v>3488</v>
      </c>
      <c r="AR30">
        <v>-20213.324152224701</v>
      </c>
      <c r="AS30">
        <v>-318.954376057084</v>
      </c>
      <c r="AU30">
        <v>9538.7109613422508</v>
      </c>
      <c r="AV30">
        <v>-230.84621881811199</v>
      </c>
      <c r="AX30">
        <v>-6352</v>
      </c>
      <c r="AY30">
        <v>0</v>
      </c>
      <c r="AZ30">
        <v>-14514.3855898606</v>
      </c>
      <c r="BA30">
        <v>-1666.48342907917</v>
      </c>
      <c r="BC30">
        <v>549.80309600088003</v>
      </c>
      <c r="BE30">
        <f t="shared" si="0"/>
        <v>36028.051051450471</v>
      </c>
      <c r="BF30">
        <f t="shared" si="1"/>
        <v>40397876.585791267</v>
      </c>
    </row>
    <row r="31" spans="1:58" x14ac:dyDescent="0.2">
      <c r="A31" s="1">
        <v>45229</v>
      </c>
      <c r="B31">
        <v>350.41623544056199</v>
      </c>
      <c r="C31">
        <v>1911.3550846870701</v>
      </c>
      <c r="E31">
        <v>-5822.8573005424796</v>
      </c>
      <c r="F31">
        <v>806</v>
      </c>
      <c r="G31">
        <v>21285.000000000098</v>
      </c>
      <c r="I31">
        <v>7590</v>
      </c>
      <c r="J31">
        <v>-1600.98493040474</v>
      </c>
      <c r="L31">
        <v>4549.7798337152199</v>
      </c>
      <c r="M31">
        <v>3024</v>
      </c>
      <c r="N31">
        <v>3549.04878955305</v>
      </c>
      <c r="O31">
        <v>6384</v>
      </c>
      <c r="P31">
        <v>-451.00027971819202</v>
      </c>
      <c r="Q31">
        <v>11835.790246218299</v>
      </c>
      <c r="R31">
        <v>-859.03990119651701</v>
      </c>
      <c r="T31">
        <v>-101</v>
      </c>
      <c r="U31">
        <v>-7979</v>
      </c>
      <c r="V31">
        <v>-2450</v>
      </c>
      <c r="W31">
        <v>-670</v>
      </c>
      <c r="X31">
        <v>-17212</v>
      </c>
      <c r="Y31">
        <v>-615</v>
      </c>
      <c r="Z31">
        <v>-14</v>
      </c>
      <c r="AA31">
        <v>-3631.26820045762</v>
      </c>
      <c r="AC31">
        <v>508.03051029314503</v>
      </c>
      <c r="AD31">
        <v>-42.813724619279903</v>
      </c>
      <c r="AE31">
        <v>-415.881670021172</v>
      </c>
      <c r="AF31">
        <v>2068.2403096174799</v>
      </c>
      <c r="AG31">
        <v>-1642.8868471415101</v>
      </c>
      <c r="AH31">
        <v>8316</v>
      </c>
      <c r="AK31">
        <v>10235.207910809901</v>
      </c>
      <c r="AL31">
        <v>3239.9884466991102</v>
      </c>
      <c r="AM31">
        <v>-1016.64553696858</v>
      </c>
      <c r="AN31">
        <v>-928.86395309696604</v>
      </c>
      <c r="AP31">
        <v>50952</v>
      </c>
      <c r="AQ31">
        <v>24852</v>
      </c>
      <c r="AR31">
        <v>-11347.354864586399</v>
      </c>
      <c r="AS31">
        <v>-142.96534014618501</v>
      </c>
      <c r="AU31">
        <v>-5334.6351544183299</v>
      </c>
      <c r="AV31">
        <v>-167.87319265770799</v>
      </c>
      <c r="AX31">
        <v>10968</v>
      </c>
      <c r="AY31">
        <v>0</v>
      </c>
      <c r="AZ31">
        <v>-1639.2910409292199</v>
      </c>
      <c r="BA31">
        <v>-12493.089325786499</v>
      </c>
      <c r="BC31">
        <v>1921.71861038664</v>
      </c>
      <c r="BE31">
        <f t="shared" si="0"/>
        <v>97768.124714729172</v>
      </c>
      <c r="BF31">
        <f t="shared" si="1"/>
        <v>40495644.710506</v>
      </c>
    </row>
    <row r="32" spans="1:58" x14ac:dyDescent="0.2">
      <c r="A32" s="1">
        <v>45230</v>
      </c>
      <c r="B32">
        <v>7304.1766696082004</v>
      </c>
      <c r="C32">
        <v>197.11204861978001</v>
      </c>
      <c r="E32">
        <v>-61.971329922563498</v>
      </c>
      <c r="F32">
        <v>-3042</v>
      </c>
      <c r="G32">
        <v>-6968.5724555449096</v>
      </c>
      <c r="I32">
        <v>-2250</v>
      </c>
      <c r="J32">
        <v>1893.09051458012</v>
      </c>
      <c r="L32">
        <v>-5785.0604431417096</v>
      </c>
      <c r="M32">
        <v>-1569.5999999999401</v>
      </c>
      <c r="N32">
        <v>-1873.6697400000701</v>
      </c>
      <c r="O32">
        <v>-7583.7016332009998</v>
      </c>
      <c r="P32">
        <v>6200.95591517097</v>
      </c>
      <c r="Q32">
        <v>15136.6718873397</v>
      </c>
      <c r="R32">
        <v>4269.3596841169101</v>
      </c>
      <c r="T32">
        <v>398</v>
      </c>
      <c r="U32">
        <v>-6425.4504111488304</v>
      </c>
      <c r="V32">
        <v>-1673.7174219636299</v>
      </c>
      <c r="W32">
        <v>-634.87375110573805</v>
      </c>
      <c r="X32">
        <v>-18408.835528823602</v>
      </c>
      <c r="Y32">
        <v>-1678.2348640812199</v>
      </c>
      <c r="Z32">
        <v>-387.72953381570397</v>
      </c>
      <c r="AA32">
        <v>-1666.4407293854999</v>
      </c>
      <c r="AC32">
        <v>3300.4043765236302</v>
      </c>
      <c r="AD32">
        <v>-1401</v>
      </c>
      <c r="AE32">
        <v>2600</v>
      </c>
      <c r="AF32">
        <v>1390.1003673052401</v>
      </c>
      <c r="AG32">
        <v>7239</v>
      </c>
      <c r="AH32">
        <v>10080</v>
      </c>
      <c r="AK32">
        <v>-9228.5226000000002</v>
      </c>
      <c r="AL32">
        <v>5116.5912135612198</v>
      </c>
      <c r="AM32">
        <v>-552.91534426422402</v>
      </c>
      <c r="AN32">
        <v>-576.11086083219902</v>
      </c>
      <c r="AP32">
        <v>21384</v>
      </c>
      <c r="AQ32">
        <v>23757.281902330102</v>
      </c>
      <c r="AR32">
        <v>-4136.5172738766196</v>
      </c>
      <c r="AS32">
        <v>642</v>
      </c>
      <c r="AU32">
        <v>12819.600868573199</v>
      </c>
      <c r="AV32">
        <v>5722.9433177155897</v>
      </c>
      <c r="AX32">
        <v>-6304</v>
      </c>
      <c r="AY32">
        <v>0</v>
      </c>
      <c r="AZ32">
        <v>-833.42530743336602</v>
      </c>
      <c r="BA32">
        <v>23470.037984525399</v>
      </c>
      <c r="BC32">
        <v>-4794.3224717590301</v>
      </c>
      <c r="BE32">
        <f t="shared" si="0"/>
        <v>65084.655049670204</v>
      </c>
      <c r="BF32">
        <f t="shared" si="1"/>
        <v>40560729.365555666</v>
      </c>
    </row>
    <row r="33" spans="1:58" x14ac:dyDescent="0.2">
      <c r="A33" s="1">
        <v>45231</v>
      </c>
      <c r="B33">
        <v>5683.5833638150598</v>
      </c>
      <c r="C33">
        <v>-1874.3137319597599</v>
      </c>
      <c r="E33">
        <v>-1174.4905434577399</v>
      </c>
      <c r="F33">
        <v>-8444.8598613002705</v>
      </c>
      <c r="G33">
        <v>8646.0000000000891</v>
      </c>
      <c r="I33">
        <v>6198</v>
      </c>
      <c r="J33">
        <v>-2954.6519929992801</v>
      </c>
      <c r="L33">
        <v>-10650</v>
      </c>
      <c r="M33">
        <v>14169.5999999999</v>
      </c>
      <c r="N33">
        <v>-4419.74189999992</v>
      </c>
      <c r="O33">
        <v>7080.0000000001601</v>
      </c>
      <c r="P33">
        <v>871.73539436847398</v>
      </c>
      <c r="Q33">
        <v>-10485.4781455475</v>
      </c>
      <c r="R33">
        <v>-4169.6762103022902</v>
      </c>
      <c r="T33">
        <v>102.161262531567</v>
      </c>
      <c r="U33">
        <v>1995.93389797792</v>
      </c>
      <c r="V33">
        <v>-248.34613408152799</v>
      </c>
      <c r="W33">
        <v>1548</v>
      </c>
      <c r="X33">
        <v>994.17670478111995</v>
      </c>
      <c r="Y33">
        <v>-363.067783371887</v>
      </c>
      <c r="Z33">
        <v>-238.119405805799</v>
      </c>
      <c r="AA33">
        <v>-320.61432331720403</v>
      </c>
      <c r="AC33">
        <v>1157.3033550934999</v>
      </c>
      <c r="AD33">
        <v>300.42978411123499</v>
      </c>
      <c r="AE33">
        <v>1684.9723977675701</v>
      </c>
      <c r="AF33">
        <v>788.71980878378804</v>
      </c>
      <c r="AG33">
        <v>2622.03909058515</v>
      </c>
      <c r="AH33">
        <v>-9828</v>
      </c>
      <c r="AK33">
        <v>5412.6977144142002</v>
      </c>
      <c r="AL33">
        <v>3339.23649385299</v>
      </c>
      <c r="AM33">
        <v>-70.722173684225794</v>
      </c>
      <c r="AN33">
        <v>-70.006547366311395</v>
      </c>
      <c r="AP33">
        <v>13728</v>
      </c>
      <c r="AQ33">
        <v>25725.840692227601</v>
      </c>
      <c r="AR33">
        <v>-913.52321979265503</v>
      </c>
      <c r="AS33">
        <v>4272</v>
      </c>
      <c r="AU33">
        <v>-19180.3430413643</v>
      </c>
      <c r="AV33">
        <v>3533.4600951705802</v>
      </c>
      <c r="AX33">
        <v>5528</v>
      </c>
      <c r="AY33">
        <v>2738.6948599999801</v>
      </c>
      <c r="AZ33">
        <v>-532.26185681812001</v>
      </c>
      <c r="BA33">
        <v>-3166.0552142367501</v>
      </c>
      <c r="BC33">
        <v>-2180</v>
      </c>
      <c r="BE33">
        <f t="shared" si="0"/>
        <v>36836.312830075345</v>
      </c>
      <c r="BF33">
        <f t="shared" si="1"/>
        <v>40597565.678385742</v>
      </c>
    </row>
    <row r="34" spans="1:58" x14ac:dyDescent="0.2">
      <c r="A34" s="1">
        <v>45232</v>
      </c>
      <c r="B34">
        <v>37586.105309115403</v>
      </c>
      <c r="C34">
        <v>-1212</v>
      </c>
      <c r="E34">
        <v>15752.712622920501</v>
      </c>
      <c r="F34">
        <v>3111.44051117757</v>
      </c>
      <c r="G34">
        <v>-7998.5448554689901</v>
      </c>
      <c r="I34">
        <v>-6226.0176094264598</v>
      </c>
      <c r="J34">
        <v>-1921</v>
      </c>
      <c r="L34">
        <v>11502</v>
      </c>
      <c r="M34">
        <v>-5351.14322150312</v>
      </c>
      <c r="N34">
        <v>303.67458000009998</v>
      </c>
      <c r="O34">
        <v>-1416.0000000001501</v>
      </c>
      <c r="P34">
        <v>6198.5344574145902</v>
      </c>
      <c r="Q34">
        <v>25370</v>
      </c>
      <c r="R34">
        <v>3780</v>
      </c>
      <c r="T34">
        <v>435.74781011829799</v>
      </c>
      <c r="U34">
        <v>-669.80428625787204</v>
      </c>
      <c r="V34">
        <v>0</v>
      </c>
      <c r="W34">
        <v>3491.2874579658001</v>
      </c>
      <c r="X34">
        <v>13230.6002112078</v>
      </c>
      <c r="Y34">
        <v>8134.7250683014499</v>
      </c>
      <c r="Z34">
        <v>-120.19662640505101</v>
      </c>
      <c r="AA34">
        <v>-1459.0506720086</v>
      </c>
      <c r="AC34">
        <v>10550.521647817501</v>
      </c>
      <c r="AD34">
        <v>554</v>
      </c>
      <c r="AE34">
        <v>-692.52501099589495</v>
      </c>
      <c r="AF34">
        <v>-4842.3287505627704</v>
      </c>
      <c r="AG34">
        <v>-29.3543906852261</v>
      </c>
      <c r="AH34">
        <v>-504</v>
      </c>
      <c r="AK34">
        <v>-5521.3559999999998</v>
      </c>
      <c r="AL34">
        <v>2177.3572322147802</v>
      </c>
      <c r="AM34">
        <v>228.76958015368101</v>
      </c>
      <c r="AN34">
        <v>944.73781270407005</v>
      </c>
      <c r="AP34">
        <v>19008</v>
      </c>
      <c r="AQ34">
        <v>-4082.0579698778702</v>
      </c>
      <c r="AR34">
        <v>30.421729440721599</v>
      </c>
      <c r="AS34">
        <v>715.63555446842497</v>
      </c>
      <c r="AU34">
        <v>192917.50844523701</v>
      </c>
      <c r="AV34">
        <v>-1859.5471133138001</v>
      </c>
      <c r="AX34">
        <v>-2315.36292386368</v>
      </c>
      <c r="AY34">
        <v>-5575.14909167736</v>
      </c>
      <c r="AZ34">
        <v>-2290.6689971113101</v>
      </c>
      <c r="BA34">
        <v>-5724.2272610609698</v>
      </c>
      <c r="BC34">
        <v>-872</v>
      </c>
      <c r="BE34">
        <f t="shared" si="0"/>
        <v>295341.44525003852</v>
      </c>
      <c r="BF34">
        <f t="shared" si="1"/>
        <v>40892907.123635784</v>
      </c>
    </row>
    <row r="35" spans="1:58" x14ac:dyDescent="0.2">
      <c r="A35" s="1">
        <v>45233</v>
      </c>
      <c r="B35">
        <v>-10707</v>
      </c>
      <c r="C35">
        <v>4343</v>
      </c>
      <c r="E35">
        <v>19041.130377952999</v>
      </c>
      <c r="F35">
        <v>5870.2354849850799</v>
      </c>
      <c r="G35">
        <v>13563</v>
      </c>
      <c r="I35">
        <v>3568</v>
      </c>
      <c r="J35">
        <v>2414</v>
      </c>
      <c r="L35">
        <v>-8378</v>
      </c>
      <c r="M35">
        <v>1871.1000000001</v>
      </c>
      <c r="N35">
        <v>2406.6265799999701</v>
      </c>
      <c r="O35">
        <v>5782.0000000001401</v>
      </c>
      <c r="P35">
        <v>3862.5849213111601</v>
      </c>
      <c r="Q35">
        <v>-590</v>
      </c>
      <c r="R35">
        <v>-1485</v>
      </c>
      <c r="T35">
        <v>-2234.7452444796199</v>
      </c>
      <c r="U35">
        <v>-1067.62198138842</v>
      </c>
      <c r="V35">
        <v>-22.811987249396498</v>
      </c>
      <c r="W35">
        <v>10287.128092728801</v>
      </c>
      <c r="X35">
        <v>-527</v>
      </c>
      <c r="Y35">
        <v>76.205776621842602</v>
      </c>
      <c r="Z35">
        <v>363.01998912683899</v>
      </c>
      <c r="AA35">
        <v>635.13469622330194</v>
      </c>
      <c r="AC35">
        <v>20049.8357180559</v>
      </c>
      <c r="AD35">
        <v>368</v>
      </c>
      <c r="AE35">
        <v>738.77074359122901</v>
      </c>
      <c r="AF35">
        <v>-1955</v>
      </c>
      <c r="AG35">
        <v>469.17752203092499</v>
      </c>
      <c r="AH35">
        <v>-5292</v>
      </c>
      <c r="AK35">
        <v>10087.379751910799</v>
      </c>
      <c r="AL35">
        <v>-31835.098027249602</v>
      </c>
      <c r="AM35">
        <v>-950.90293412960796</v>
      </c>
      <c r="AN35">
        <v>-1227.8996218669299</v>
      </c>
      <c r="AP35">
        <v>5016</v>
      </c>
      <c r="AQ35">
        <v>7885.6937729720203</v>
      </c>
      <c r="AR35">
        <v>1149.79854549573</v>
      </c>
      <c r="AS35">
        <v>3119.79732419437</v>
      </c>
      <c r="AU35">
        <v>26949.623934740699</v>
      </c>
      <c r="AV35">
        <v>9278.0438711574898</v>
      </c>
      <c r="AX35">
        <v>9297</v>
      </c>
      <c r="AY35">
        <v>-277.00614580119998</v>
      </c>
      <c r="AZ35">
        <v>-5782.6414373303396</v>
      </c>
      <c r="BA35">
        <v>-702.83736000002602</v>
      </c>
      <c r="BC35">
        <v>4360</v>
      </c>
      <c r="BE35">
        <f t="shared" si="0"/>
        <v>99816.722363604262</v>
      </c>
      <c r="BF35">
        <f t="shared" si="1"/>
        <v>40992723.84599939</v>
      </c>
    </row>
    <row r="36" spans="1:58" x14ac:dyDescent="0.2">
      <c r="A36" s="1">
        <v>45236</v>
      </c>
      <c r="B36">
        <v>-15106</v>
      </c>
      <c r="C36">
        <v>-1964.2544060856501</v>
      </c>
      <c r="E36">
        <v>-18359.838336894099</v>
      </c>
      <c r="F36">
        <v>0</v>
      </c>
      <c r="G36">
        <v>-3565.69388163147</v>
      </c>
      <c r="I36">
        <v>-1456</v>
      </c>
      <c r="J36">
        <v>-6936</v>
      </c>
      <c r="L36">
        <v>-355</v>
      </c>
      <c r="M36">
        <v>4945.0720070106099</v>
      </c>
      <c r="N36">
        <v>-2484.0371700001501</v>
      </c>
      <c r="O36">
        <v>-434.26991823683898</v>
      </c>
      <c r="P36">
        <v>-9995.1803831279594</v>
      </c>
      <c r="Q36">
        <v>-9448.9186623280693</v>
      </c>
      <c r="R36">
        <v>-2025</v>
      </c>
      <c r="T36">
        <v>3993</v>
      </c>
      <c r="U36">
        <v>734.90133926410601</v>
      </c>
      <c r="V36">
        <v>-3150</v>
      </c>
      <c r="W36">
        <v>7915.4215902343904</v>
      </c>
      <c r="X36">
        <v>8585</v>
      </c>
      <c r="Y36">
        <v>-7654.3456357295399</v>
      </c>
      <c r="Z36">
        <v>-1013.63491716756</v>
      </c>
      <c r="AA36">
        <v>-645</v>
      </c>
      <c r="AC36">
        <v>-18333</v>
      </c>
      <c r="AD36">
        <v>-626.15383574593204</v>
      </c>
      <c r="AE36">
        <v>-7728.7916013776303</v>
      </c>
      <c r="AF36">
        <v>-14195</v>
      </c>
      <c r="AG36">
        <v>2899.4962578593099</v>
      </c>
      <c r="AH36">
        <v>-14616</v>
      </c>
      <c r="AK36">
        <v>5884.4700750000002</v>
      </c>
      <c r="AL36">
        <v>14428.698560278899</v>
      </c>
      <c r="AM36">
        <v>-3490</v>
      </c>
      <c r="AN36">
        <v>-5190</v>
      </c>
      <c r="AP36">
        <v>-8712</v>
      </c>
      <c r="AQ36">
        <v>28642.801838903</v>
      </c>
      <c r="AR36">
        <v>-720.47319630356299</v>
      </c>
      <c r="AS36">
        <v>-6169.4989405954502</v>
      </c>
      <c r="AU36">
        <v>26000</v>
      </c>
      <c r="AV36">
        <v>-7291.2311752608803</v>
      </c>
      <c r="AX36">
        <v>618.75887906616697</v>
      </c>
      <c r="AY36">
        <v>0</v>
      </c>
      <c r="AZ36">
        <v>-2573.54915629365</v>
      </c>
      <c r="BA36">
        <v>-774.62912844814002</v>
      </c>
      <c r="BC36">
        <v>-10246</v>
      </c>
      <c r="BE36">
        <f t="shared" si="0"/>
        <v>-80611.879797610076</v>
      </c>
      <c r="BF36">
        <f t="shared" si="1"/>
        <v>40912111.966201782</v>
      </c>
    </row>
    <row r="37" spans="1:58" x14ac:dyDescent="0.2">
      <c r="A37" s="1">
        <v>45237</v>
      </c>
      <c r="B37">
        <v>-7055</v>
      </c>
      <c r="C37">
        <v>-1836</v>
      </c>
      <c r="E37">
        <v>-52281</v>
      </c>
      <c r="F37">
        <v>0</v>
      </c>
      <c r="G37">
        <v>-701.21393440652196</v>
      </c>
      <c r="I37">
        <v>1616</v>
      </c>
      <c r="J37">
        <v>-3399.71041159058</v>
      </c>
      <c r="L37">
        <v>2554.0472244113898</v>
      </c>
      <c r="M37">
        <v>5953.2547764647597</v>
      </c>
      <c r="N37">
        <v>-4661.0585099998198</v>
      </c>
      <c r="O37">
        <v>556.72175467655495</v>
      </c>
      <c r="P37">
        <v>-96</v>
      </c>
      <c r="Q37">
        <v>-2400</v>
      </c>
      <c r="R37">
        <v>2700</v>
      </c>
      <c r="T37">
        <v>1514.4421980843699</v>
      </c>
      <c r="U37">
        <v>2672</v>
      </c>
      <c r="V37">
        <v>-1175</v>
      </c>
      <c r="W37">
        <v>1629.8128771265799</v>
      </c>
      <c r="X37">
        <v>18156</v>
      </c>
      <c r="Y37">
        <v>246</v>
      </c>
      <c r="Z37">
        <v>-6295.6205207881103</v>
      </c>
      <c r="AA37">
        <v>-259.000000000005</v>
      </c>
      <c r="AC37">
        <v>1085</v>
      </c>
      <c r="AD37">
        <v>1225</v>
      </c>
      <c r="AE37">
        <v>-5005</v>
      </c>
      <c r="AF37">
        <v>-1730.7078019673299</v>
      </c>
      <c r="AG37">
        <v>-1668.1797980433701</v>
      </c>
      <c r="AH37">
        <v>10749.063924644501</v>
      </c>
      <c r="AK37">
        <v>497.72778088440299</v>
      </c>
      <c r="AL37">
        <v>-3465.8039297176201</v>
      </c>
      <c r="AM37">
        <v>-402.492064754436</v>
      </c>
      <c r="AN37">
        <v>-1319.2071120458099</v>
      </c>
      <c r="AP37">
        <v>-10296</v>
      </c>
      <c r="AQ37">
        <v>16793.145928181901</v>
      </c>
      <c r="AR37">
        <v>-474.49182788639803</v>
      </c>
      <c r="AS37">
        <v>-180</v>
      </c>
      <c r="AU37">
        <v>15860</v>
      </c>
      <c r="AV37">
        <v>3132</v>
      </c>
      <c r="AX37">
        <v>-2351.0933371496499</v>
      </c>
      <c r="AY37">
        <v>0</v>
      </c>
      <c r="AZ37">
        <v>-1385.4225273960001</v>
      </c>
      <c r="BA37">
        <v>9359.2173753388997</v>
      </c>
      <c r="BC37">
        <v>-6891.2263613872201</v>
      </c>
      <c r="BE37">
        <f t="shared" si="0"/>
        <v>-19029.794297319528</v>
      </c>
      <c r="BF37">
        <f t="shared" si="1"/>
        <v>40893082.17190446</v>
      </c>
    </row>
    <row r="38" spans="1:58" x14ac:dyDescent="0.2">
      <c r="A38" s="1">
        <v>45238</v>
      </c>
      <c r="B38">
        <v>5382.4224577643399</v>
      </c>
      <c r="C38">
        <v>-5184</v>
      </c>
      <c r="E38">
        <v>-8001.8020745447702</v>
      </c>
      <c r="F38">
        <v>0</v>
      </c>
      <c r="G38">
        <v>10149.599283928501</v>
      </c>
      <c r="I38">
        <v>5328</v>
      </c>
      <c r="J38">
        <v>2106.98354788708</v>
      </c>
      <c r="L38">
        <v>3500</v>
      </c>
      <c r="M38">
        <v>13828.9372698796</v>
      </c>
      <c r="N38">
        <v>-2903.5706905452198</v>
      </c>
      <c r="O38">
        <v>2840.4376325971798</v>
      </c>
      <c r="P38">
        <v>-2016</v>
      </c>
      <c r="Q38">
        <v>7800</v>
      </c>
      <c r="R38">
        <v>259.99882773284901</v>
      </c>
      <c r="T38">
        <v>-752.84059919475703</v>
      </c>
      <c r="U38">
        <v>416</v>
      </c>
      <c r="V38">
        <v>-222.35824408745299</v>
      </c>
      <c r="W38">
        <v>-4732</v>
      </c>
      <c r="X38">
        <v>12087</v>
      </c>
      <c r="Y38">
        <v>-6847</v>
      </c>
      <c r="Z38">
        <v>1760</v>
      </c>
      <c r="AA38">
        <v>-51.509204629978797</v>
      </c>
      <c r="AC38">
        <v>-2457</v>
      </c>
      <c r="AD38">
        <v>-1169</v>
      </c>
      <c r="AE38">
        <v>-512.46288148770498</v>
      </c>
      <c r="AF38">
        <v>-899.98431203440805</v>
      </c>
      <c r="AG38">
        <v>4704</v>
      </c>
      <c r="AH38">
        <v>5328</v>
      </c>
      <c r="AK38">
        <v>4717.0729434000796</v>
      </c>
      <c r="AL38">
        <v>6777.9289663480804</v>
      </c>
      <c r="AM38">
        <v>-397.55794576743602</v>
      </c>
      <c r="AN38">
        <v>-3731.66156418533</v>
      </c>
      <c r="AP38">
        <v>22176</v>
      </c>
      <c r="AQ38">
        <v>-11196.3680914134</v>
      </c>
      <c r="AR38">
        <v>3422.6877411999199</v>
      </c>
      <c r="AS38">
        <v>-3225</v>
      </c>
      <c r="AU38">
        <v>14040</v>
      </c>
      <c r="AV38">
        <v>2610</v>
      </c>
      <c r="AX38">
        <v>7182.9874395562301</v>
      </c>
      <c r="AY38">
        <v>0</v>
      </c>
      <c r="AZ38">
        <v>0</v>
      </c>
      <c r="BA38">
        <v>1854.51899999989</v>
      </c>
      <c r="BC38">
        <v>-2843.9010923872202</v>
      </c>
      <c r="BE38">
        <f t="shared" si="0"/>
        <v>81128.558410016063</v>
      </c>
      <c r="BF38">
        <f t="shared" si="1"/>
        <v>40974210.730314478</v>
      </c>
    </row>
    <row r="39" spans="1:58" x14ac:dyDescent="0.2">
      <c r="A39" s="1">
        <v>45239</v>
      </c>
      <c r="B39">
        <v>-5346</v>
      </c>
      <c r="C39">
        <v>-2209.8934567521601</v>
      </c>
      <c r="E39">
        <v>7267.0538752043904</v>
      </c>
      <c r="F39">
        <v>0</v>
      </c>
      <c r="G39">
        <v>1278.71369938418</v>
      </c>
      <c r="I39">
        <v>-2466.7768215748501</v>
      </c>
      <c r="J39">
        <v>-123</v>
      </c>
      <c r="L39">
        <v>-1050</v>
      </c>
      <c r="M39">
        <v>-3423.1001526979999</v>
      </c>
      <c r="N39">
        <v>1893.8467266883999</v>
      </c>
      <c r="O39">
        <v>-483.23339220542198</v>
      </c>
      <c r="P39">
        <v>7488</v>
      </c>
      <c r="Q39">
        <v>600</v>
      </c>
      <c r="R39">
        <v>-724.59781283846598</v>
      </c>
      <c r="T39">
        <v>4494.0759662302098</v>
      </c>
      <c r="U39">
        <v>-304.71266436071602</v>
      </c>
      <c r="V39">
        <v>-22.130784675146899</v>
      </c>
      <c r="W39">
        <v>2912</v>
      </c>
      <c r="X39">
        <v>5015</v>
      </c>
      <c r="Y39">
        <v>-8774</v>
      </c>
      <c r="Z39">
        <v>-528</v>
      </c>
      <c r="AA39">
        <v>-346.29105624086498</v>
      </c>
      <c r="AC39">
        <v>16492</v>
      </c>
      <c r="AD39">
        <v>5509</v>
      </c>
      <c r="AE39">
        <v>-7998.7129710855397</v>
      </c>
      <c r="AF39">
        <v>4191.0533329643804</v>
      </c>
      <c r="AG39">
        <v>-506.76923173500802</v>
      </c>
      <c r="AH39">
        <v>0</v>
      </c>
      <c r="AK39">
        <v>-1981.6032784131701</v>
      </c>
      <c r="AL39">
        <v>-1338</v>
      </c>
      <c r="AM39">
        <v>-157.21493220402201</v>
      </c>
      <c r="AN39">
        <v>-10.2715640911003</v>
      </c>
      <c r="AP39">
        <v>3960</v>
      </c>
      <c r="AQ39">
        <v>105169</v>
      </c>
      <c r="AR39">
        <v>-370.21076448635</v>
      </c>
      <c r="AS39">
        <v>6090</v>
      </c>
      <c r="AU39">
        <v>-5980</v>
      </c>
      <c r="AV39">
        <v>5611.2301630898701</v>
      </c>
      <c r="AX39">
        <v>-1006.8632773458399</v>
      </c>
      <c r="AY39">
        <v>32854.81914</v>
      </c>
      <c r="AZ39">
        <v>0</v>
      </c>
      <c r="BA39">
        <v>-1817.9245987161601</v>
      </c>
      <c r="BC39">
        <v>2830.63481737242</v>
      </c>
      <c r="BE39">
        <f t="shared" si="0"/>
        <v>166687.12096151104</v>
      </c>
      <c r="BF39">
        <f t="shared" si="1"/>
        <v>41140897.851275988</v>
      </c>
    </row>
    <row r="40" spans="1:58" x14ac:dyDescent="0.2">
      <c r="A40" s="1">
        <v>45240</v>
      </c>
      <c r="B40">
        <v>2654.5686490622502</v>
      </c>
      <c r="C40">
        <v>5870.3966391368003</v>
      </c>
      <c r="E40">
        <v>8090.9117141714896</v>
      </c>
      <c r="F40">
        <v>-3600</v>
      </c>
      <c r="G40">
        <v>892.99240928605002</v>
      </c>
      <c r="I40">
        <v>801</v>
      </c>
      <c r="J40">
        <v>-217.10048742069699</v>
      </c>
      <c r="L40">
        <v>8260</v>
      </c>
      <c r="M40">
        <v>6047.5381892979703</v>
      </c>
      <c r="N40">
        <v>-1917.7038400000099</v>
      </c>
      <c r="O40">
        <v>-5874.3837090050802</v>
      </c>
      <c r="P40">
        <v>2384.2538744777999</v>
      </c>
      <c r="Q40">
        <v>18600</v>
      </c>
      <c r="R40">
        <v>4983</v>
      </c>
      <c r="T40">
        <v>-1817.94965507648</v>
      </c>
      <c r="U40">
        <v>-1764.28577988543</v>
      </c>
      <c r="V40">
        <v>225</v>
      </c>
      <c r="W40">
        <v>12298</v>
      </c>
      <c r="X40">
        <v>24004</v>
      </c>
      <c r="Y40">
        <v>2583</v>
      </c>
      <c r="Z40">
        <v>-1626.6078781347201</v>
      </c>
      <c r="AA40">
        <v>247.24210121147601</v>
      </c>
      <c r="AC40">
        <v>-6650</v>
      </c>
      <c r="AD40">
        <v>-4860.19022913751</v>
      </c>
      <c r="AE40">
        <v>954.493816666052</v>
      </c>
      <c r="AF40">
        <v>8085</v>
      </c>
      <c r="AG40">
        <v>14101.8105543446</v>
      </c>
      <c r="AH40">
        <v>3774</v>
      </c>
      <c r="AK40">
        <v>-2377.9566070792398</v>
      </c>
      <c r="AL40">
        <v>2453</v>
      </c>
      <c r="AM40">
        <v>3502.5257633272499</v>
      </c>
      <c r="AN40">
        <v>2735.9850320478399</v>
      </c>
      <c r="AP40">
        <v>6336</v>
      </c>
      <c r="AQ40">
        <v>8627.1070738177295</v>
      </c>
      <c r="AR40">
        <v>-4823.5904558995599</v>
      </c>
      <c r="AS40">
        <v>-6540</v>
      </c>
      <c r="AU40">
        <v>3380</v>
      </c>
      <c r="AV40">
        <v>15255.101607683</v>
      </c>
      <c r="AX40">
        <v>-3887</v>
      </c>
      <c r="AY40">
        <v>-1918.1269900484101</v>
      </c>
      <c r="AZ40">
        <v>0</v>
      </c>
      <c r="BA40">
        <v>1524.9903504154199</v>
      </c>
      <c r="BC40">
        <v>290</v>
      </c>
      <c r="BE40">
        <f t="shared" si="0"/>
        <v>121087.02214325861</v>
      </c>
      <c r="BF40">
        <f t="shared" si="1"/>
        <v>41261984.873419248</v>
      </c>
    </row>
    <row r="41" spans="1:58" x14ac:dyDescent="0.2">
      <c r="A41" s="1">
        <v>45243</v>
      </c>
      <c r="B41">
        <v>-1560</v>
      </c>
      <c r="C41">
        <v>-237</v>
      </c>
      <c r="E41">
        <v>-2180</v>
      </c>
      <c r="F41">
        <v>-880.96203298332705</v>
      </c>
      <c r="G41">
        <v>13099.368230050401</v>
      </c>
      <c r="I41">
        <v>4977</v>
      </c>
      <c r="J41">
        <v>-201.85597263797899</v>
      </c>
      <c r="L41">
        <v>1309.4603776547399</v>
      </c>
      <c r="M41">
        <v>12116.4343981412</v>
      </c>
      <c r="N41">
        <v>-498.31175536297002</v>
      </c>
      <c r="O41">
        <v>16894.999999999902</v>
      </c>
      <c r="P41">
        <v>5485.9456189224102</v>
      </c>
      <c r="Q41">
        <v>28773.373017353199</v>
      </c>
      <c r="R41">
        <v>18062.8835872368</v>
      </c>
      <c r="T41">
        <v>-4061.0861128217998</v>
      </c>
      <c r="U41">
        <v>1476</v>
      </c>
      <c r="V41">
        <v>375</v>
      </c>
      <c r="W41">
        <v>-13390</v>
      </c>
      <c r="X41">
        <v>-34</v>
      </c>
      <c r="Y41">
        <v>-9274.6348293708197</v>
      </c>
      <c r="Z41">
        <v>4294.5210395928698</v>
      </c>
      <c r="AA41">
        <v>851.30489590574302</v>
      </c>
      <c r="AC41">
        <v>5446</v>
      </c>
      <c r="AD41">
        <v>-319</v>
      </c>
      <c r="AE41">
        <v>-90.912064379872803</v>
      </c>
      <c r="AF41">
        <v>5610</v>
      </c>
      <c r="AG41">
        <v>-12981.433858418501</v>
      </c>
      <c r="AH41">
        <v>13320</v>
      </c>
      <c r="AK41">
        <v>9619.5907499999994</v>
      </c>
      <c r="AL41">
        <v>8028</v>
      </c>
      <c r="AM41">
        <v>8405.9265631278395</v>
      </c>
      <c r="AN41">
        <v>5550.8826061815798</v>
      </c>
      <c r="AP41">
        <v>56496</v>
      </c>
      <c r="AQ41">
        <v>29156</v>
      </c>
      <c r="AR41">
        <v>3100</v>
      </c>
      <c r="AS41">
        <v>4695</v>
      </c>
      <c r="AU41">
        <v>8840</v>
      </c>
      <c r="AV41">
        <v>-14.6633015251251</v>
      </c>
      <c r="AX41">
        <v>9789</v>
      </c>
      <c r="AY41">
        <v>0</v>
      </c>
      <c r="AZ41">
        <v>0</v>
      </c>
      <c r="BA41">
        <v>9065.4773329062391</v>
      </c>
      <c r="BC41">
        <v>560</v>
      </c>
      <c r="BE41">
        <f t="shared" si="0"/>
        <v>239674.30848957258</v>
      </c>
      <c r="BF41">
        <f t="shared" si="1"/>
        <v>41501659.181908824</v>
      </c>
    </row>
    <row r="42" spans="1:58" x14ac:dyDescent="0.2">
      <c r="A42" s="1">
        <v>45244</v>
      </c>
      <c r="B42">
        <v>13559.866103205401</v>
      </c>
      <c r="C42">
        <v>21725</v>
      </c>
      <c r="E42">
        <v>8066</v>
      </c>
      <c r="F42">
        <v>-87.806241345138503</v>
      </c>
      <c r="G42">
        <v>13594.2585923521</v>
      </c>
      <c r="I42">
        <v>2600.8790668891402</v>
      </c>
      <c r="J42">
        <v>1907.37102483174</v>
      </c>
      <c r="L42">
        <v>14063.9385217896</v>
      </c>
      <c r="M42">
        <v>5586.5019412531301</v>
      </c>
      <c r="N42">
        <v>-2201.2271339682402</v>
      </c>
      <c r="O42">
        <v>13976.5677417814</v>
      </c>
      <c r="P42">
        <v>18059.82584442</v>
      </c>
      <c r="Q42">
        <v>20160</v>
      </c>
      <c r="R42">
        <v>32157.336358585599</v>
      </c>
      <c r="T42">
        <v>7480</v>
      </c>
      <c r="U42">
        <v>-205</v>
      </c>
      <c r="V42">
        <v>-4325</v>
      </c>
      <c r="W42">
        <v>-13572</v>
      </c>
      <c r="X42">
        <v>1292</v>
      </c>
      <c r="Y42">
        <v>15135.2522287461</v>
      </c>
      <c r="Z42">
        <v>6048</v>
      </c>
      <c r="AA42">
        <v>-7848.8660975617504</v>
      </c>
      <c r="AC42">
        <v>14574</v>
      </c>
      <c r="AD42">
        <v>753.84702592087206</v>
      </c>
      <c r="AE42">
        <v>-127.23735684492701</v>
      </c>
      <c r="AF42">
        <v>-4331.4418548970598</v>
      </c>
      <c r="AG42">
        <v>6611</v>
      </c>
      <c r="AH42">
        <v>2392.3019840634502</v>
      </c>
      <c r="AK42">
        <v>-3087.4245536234398</v>
      </c>
      <c r="AL42">
        <v>5909.9452106125</v>
      </c>
      <c r="AM42">
        <v>-6601.0403759885703</v>
      </c>
      <c r="AN42">
        <v>-4912.6831121159103</v>
      </c>
      <c r="AP42">
        <v>51216</v>
      </c>
      <c r="AQ42">
        <v>-15366</v>
      </c>
      <c r="AR42">
        <v>-3410</v>
      </c>
      <c r="AS42">
        <v>6165</v>
      </c>
      <c r="AU42">
        <v>24960</v>
      </c>
      <c r="AV42">
        <v>382.64944464249101</v>
      </c>
      <c r="AX42">
        <v>13210.257740347301</v>
      </c>
      <c r="AY42">
        <v>-65087.386560000101</v>
      </c>
      <c r="AZ42">
        <v>-4995.1531000000105</v>
      </c>
      <c r="BA42">
        <v>-8799.6952771067608</v>
      </c>
      <c r="BC42">
        <v>-404.70024704459098</v>
      </c>
      <c r="BE42">
        <f t="shared" si="0"/>
        <v>176225.13691894422</v>
      </c>
      <c r="BF42">
        <f t="shared" si="1"/>
        <v>41677884.318827771</v>
      </c>
    </row>
    <row r="43" spans="1:58" x14ac:dyDescent="0.2">
      <c r="A43" s="1">
        <v>45245</v>
      </c>
      <c r="B43">
        <v>5070.2586937635397</v>
      </c>
      <c r="C43">
        <v>-8088.2555109599298</v>
      </c>
      <c r="E43">
        <v>-4007.8811908702201</v>
      </c>
      <c r="F43">
        <v>-104.693289843721</v>
      </c>
      <c r="G43">
        <v>25460.791727736501</v>
      </c>
      <c r="I43">
        <v>10606.2042100986</v>
      </c>
      <c r="J43">
        <v>-746.46324224676096</v>
      </c>
      <c r="L43">
        <v>-1998.61538144674</v>
      </c>
      <c r="M43">
        <v>10079.704696900601</v>
      </c>
      <c r="N43">
        <v>-349.990621915308</v>
      </c>
      <c r="O43">
        <v>12011.6366476562</v>
      </c>
      <c r="P43">
        <v>-7256.2290489134703</v>
      </c>
      <c r="Q43">
        <v>-5789.6296983508601</v>
      </c>
      <c r="R43">
        <v>-30185.926843216199</v>
      </c>
      <c r="T43">
        <v>4560.3147249967997</v>
      </c>
      <c r="U43">
        <v>-4685.6752414618404</v>
      </c>
      <c r="V43">
        <v>1248.67788411738</v>
      </c>
      <c r="W43">
        <v>8874.2773132497296</v>
      </c>
      <c r="X43">
        <v>9482.9065737240599</v>
      </c>
      <c r="Y43">
        <v>-3780.4402207343001</v>
      </c>
      <c r="Z43">
        <v>-2977.2801267723398</v>
      </c>
      <c r="AA43">
        <v>2987.5366141147101</v>
      </c>
      <c r="AC43">
        <v>16562.481325242999</v>
      </c>
      <c r="AD43">
        <v>685.55927327948405</v>
      </c>
      <c r="AE43">
        <v>-872.20717448153096</v>
      </c>
      <c r="AF43">
        <v>1863.1820381411101</v>
      </c>
      <c r="AG43">
        <v>-2385.89515619949</v>
      </c>
      <c r="AH43">
        <v>-1163.54412468289</v>
      </c>
      <c r="AK43">
        <v>18684.8839674556</v>
      </c>
      <c r="AL43">
        <v>-2576.5462642254201</v>
      </c>
      <c r="AM43">
        <v>4557.5392398550302</v>
      </c>
      <c r="AN43">
        <v>2655.3458150629099</v>
      </c>
      <c r="AP43">
        <v>-16408.736393836902</v>
      </c>
      <c r="AQ43">
        <v>-15381.499587341899</v>
      </c>
      <c r="AR43">
        <v>1706.2275941912101</v>
      </c>
      <c r="AS43">
        <v>-1610.4612573399399</v>
      </c>
      <c r="AU43">
        <v>-37730.284990467</v>
      </c>
      <c r="AV43">
        <v>21330.479093735499</v>
      </c>
      <c r="AX43">
        <v>18540.558394631698</v>
      </c>
      <c r="AY43">
        <v>-2505.6899489512998</v>
      </c>
      <c r="AZ43">
        <v>-7186.4438817965001</v>
      </c>
      <c r="BA43">
        <v>-1414.1736812711899</v>
      </c>
      <c r="BC43">
        <v>310.85525677556802</v>
      </c>
      <c r="BE43">
        <f t="shared" si="0"/>
        <v>18072.858207403478</v>
      </c>
      <c r="BF43">
        <f t="shared" si="1"/>
        <v>41695957.177035175</v>
      </c>
    </row>
    <row r="44" spans="1:58" x14ac:dyDescent="0.2">
      <c r="A44" s="1">
        <v>45246</v>
      </c>
      <c r="B44">
        <v>8436</v>
      </c>
      <c r="C44">
        <v>15408</v>
      </c>
      <c r="E44">
        <v>4140</v>
      </c>
      <c r="F44">
        <v>-78</v>
      </c>
      <c r="G44">
        <v>7647.7152349821299</v>
      </c>
      <c r="I44">
        <v>-761.86073667752999</v>
      </c>
      <c r="J44">
        <v>110.963047248294</v>
      </c>
      <c r="L44">
        <v>9140.1218991555106</v>
      </c>
      <c r="M44">
        <v>19995.949324614699</v>
      </c>
      <c r="N44">
        <v>-1934.6484000000601</v>
      </c>
      <c r="O44">
        <v>9735.2759499480198</v>
      </c>
      <c r="P44">
        <v>13640</v>
      </c>
      <c r="Q44">
        <v>-26460</v>
      </c>
      <c r="R44">
        <v>-7606.0888252892501</v>
      </c>
      <c r="T44">
        <v>2969.55140891154</v>
      </c>
      <c r="U44">
        <v>-3344</v>
      </c>
      <c r="V44">
        <v>0</v>
      </c>
      <c r="W44">
        <v>-620.74708871761902</v>
      </c>
      <c r="X44">
        <v>22949.481002334502</v>
      </c>
      <c r="Y44">
        <v>31713</v>
      </c>
      <c r="Z44">
        <v>624.30875862089999</v>
      </c>
      <c r="AA44">
        <v>-5162.0729235832796</v>
      </c>
      <c r="AC44">
        <v>13686.3231896574</v>
      </c>
      <c r="AD44">
        <v>280</v>
      </c>
      <c r="AE44">
        <v>-864</v>
      </c>
      <c r="AF44">
        <v>6465.4737261252103</v>
      </c>
      <c r="AG44">
        <v>5126</v>
      </c>
      <c r="AH44">
        <v>9011.5333708778599</v>
      </c>
      <c r="AK44">
        <v>-8030.616</v>
      </c>
      <c r="AL44">
        <v>5114.9347434006204</v>
      </c>
      <c r="AM44">
        <v>-5850</v>
      </c>
      <c r="AN44">
        <v>-4752</v>
      </c>
      <c r="AP44">
        <v>12181.2824049726</v>
      </c>
      <c r="AQ44">
        <v>-12797.904708490099</v>
      </c>
      <c r="AR44">
        <v>2015</v>
      </c>
      <c r="AS44">
        <v>9392.0122148542196</v>
      </c>
      <c r="AU44">
        <v>14173.8837649326</v>
      </c>
      <c r="AV44">
        <v>-3776</v>
      </c>
      <c r="AX44">
        <v>5719.2193533302598</v>
      </c>
      <c r="AY44">
        <v>0</v>
      </c>
      <c r="AZ44">
        <v>-1759.6160354979299</v>
      </c>
      <c r="BA44">
        <v>-3572.8090199999801</v>
      </c>
      <c r="BC44">
        <v>49</v>
      </c>
      <c r="BE44">
        <f t="shared" si="0"/>
        <v>142354.66565571062</v>
      </c>
      <c r="BF44">
        <f t="shared" si="1"/>
        <v>41838311.842690885</v>
      </c>
    </row>
    <row r="45" spans="1:58" x14ac:dyDescent="0.2">
      <c r="A45" s="1">
        <v>45247</v>
      </c>
      <c r="B45">
        <v>-3805.8940744831998</v>
      </c>
      <c r="C45">
        <v>11957.735309842899</v>
      </c>
      <c r="E45">
        <v>-1801.6832353371699</v>
      </c>
      <c r="F45">
        <v>489.81346477340298</v>
      </c>
      <c r="G45">
        <v>-32343.107989820699</v>
      </c>
      <c r="I45">
        <v>-11167</v>
      </c>
      <c r="J45">
        <v>4104.9842642448002</v>
      </c>
      <c r="L45">
        <v>10065.4109287223</v>
      </c>
      <c r="M45">
        <v>-10330.9061583192</v>
      </c>
      <c r="N45">
        <v>89.456500000000005</v>
      </c>
      <c r="O45">
        <v>-13618.763300987601</v>
      </c>
      <c r="P45">
        <v>3365.2759931073601</v>
      </c>
      <c r="Q45">
        <v>-3204.2237022887098</v>
      </c>
      <c r="R45">
        <v>1825.9333058301499</v>
      </c>
      <c r="T45">
        <v>-239.29383523018501</v>
      </c>
      <c r="U45">
        <v>420.820547543418</v>
      </c>
      <c r="V45">
        <v>-22.9045828984647</v>
      </c>
      <c r="W45">
        <v>-714.68780121412306</v>
      </c>
      <c r="X45">
        <v>-17423.626611200802</v>
      </c>
      <c r="Y45">
        <v>-3131</v>
      </c>
      <c r="Z45">
        <v>-1097.43682827362</v>
      </c>
      <c r="AA45">
        <v>2164.7250578046501</v>
      </c>
      <c r="AC45">
        <v>1256</v>
      </c>
      <c r="AD45">
        <v>-544</v>
      </c>
      <c r="AE45">
        <v>-896</v>
      </c>
      <c r="AF45">
        <v>-2518.9102195072801</v>
      </c>
      <c r="AG45">
        <v>-8613</v>
      </c>
      <c r="AH45">
        <v>-1168.1760243122201</v>
      </c>
      <c r="AK45">
        <v>-3444.0752499999999</v>
      </c>
      <c r="AL45">
        <v>2686.1188019480001</v>
      </c>
      <c r="AM45">
        <v>2000</v>
      </c>
      <c r="AN45">
        <v>2024</v>
      </c>
      <c r="AP45">
        <v>-9204</v>
      </c>
      <c r="AQ45">
        <v>-1073.6427912741201</v>
      </c>
      <c r="AR45">
        <v>-1240</v>
      </c>
      <c r="AS45">
        <v>-13730.758653171</v>
      </c>
      <c r="AU45">
        <v>-3486</v>
      </c>
      <c r="AV45">
        <v>-2596</v>
      </c>
      <c r="AX45">
        <v>-15786.881357693001</v>
      </c>
      <c r="AY45">
        <v>0</v>
      </c>
      <c r="AZ45">
        <v>-565.49604223920596</v>
      </c>
      <c r="BA45">
        <v>-3813.5775518824998</v>
      </c>
      <c r="BC45">
        <v>1372</v>
      </c>
      <c r="BE45">
        <f t="shared" si="0"/>
        <v>-123758.77183631611</v>
      </c>
      <c r="BF45">
        <f t="shared" si="1"/>
        <v>41714553.070854567</v>
      </c>
    </row>
    <row r="46" spans="1:58" x14ac:dyDescent="0.2">
      <c r="A46" s="1">
        <v>45250</v>
      </c>
      <c r="B46">
        <v>841.17423924545801</v>
      </c>
      <c r="C46">
        <v>3075.5512851920298</v>
      </c>
      <c r="E46">
        <v>4567.0185890540597</v>
      </c>
      <c r="F46">
        <v>-1190</v>
      </c>
      <c r="G46">
        <v>27942.424057300399</v>
      </c>
      <c r="I46">
        <v>19812</v>
      </c>
      <c r="J46">
        <v>-630.27944984907197</v>
      </c>
      <c r="L46">
        <v>-3470.4382997432399</v>
      </c>
      <c r="M46">
        <v>32181.799999999799</v>
      </c>
      <c r="N46">
        <v>1488.3188133820299</v>
      </c>
      <c r="O46">
        <v>32943.9999999996</v>
      </c>
      <c r="P46">
        <v>-18563.076007588501</v>
      </c>
      <c r="Q46">
        <v>13644.0122998344</v>
      </c>
      <c r="R46">
        <v>8955.6359360062597</v>
      </c>
      <c r="T46">
        <v>5040.1276437727802</v>
      </c>
      <c r="U46">
        <v>444.217439946296</v>
      </c>
      <c r="V46">
        <v>525</v>
      </c>
      <c r="W46">
        <v>543.87369955667396</v>
      </c>
      <c r="X46">
        <v>-16320</v>
      </c>
      <c r="Y46">
        <v>-2656.51046514073</v>
      </c>
      <c r="Z46">
        <v>6884.4952894582302</v>
      </c>
      <c r="AA46">
        <v>279.000000000005</v>
      </c>
      <c r="AC46">
        <v>14232</v>
      </c>
      <c r="AD46">
        <v>568</v>
      </c>
      <c r="AE46">
        <v>768</v>
      </c>
      <c r="AF46">
        <v>4992.8883840680901</v>
      </c>
      <c r="AG46">
        <v>12705</v>
      </c>
      <c r="AH46">
        <v>-11989.436579897099</v>
      </c>
      <c r="AK46">
        <v>21077.75505</v>
      </c>
      <c r="AL46">
        <v>1078.53433335918</v>
      </c>
      <c r="AM46">
        <v>2525</v>
      </c>
      <c r="AN46">
        <v>2486</v>
      </c>
      <c r="AP46">
        <v>13916.4977193705</v>
      </c>
      <c r="AQ46">
        <v>8030.1403882595896</v>
      </c>
      <c r="AR46">
        <v>4023.9439531206299</v>
      </c>
      <c r="AS46">
        <v>6256</v>
      </c>
      <c r="AU46">
        <v>8466</v>
      </c>
      <c r="AV46">
        <v>6372</v>
      </c>
      <c r="AX46">
        <v>34340</v>
      </c>
      <c r="AY46">
        <v>-18900.695519999801</v>
      </c>
      <c r="AZ46">
        <v>2795.4300023239498</v>
      </c>
      <c r="BA46">
        <v>-18892.9031622533</v>
      </c>
      <c r="BC46">
        <v>-375.28019320844902</v>
      </c>
      <c r="BE46">
        <f t="shared" si="0"/>
        <v>210813.21944556979</v>
      </c>
      <c r="BF46">
        <f t="shared" si="1"/>
        <v>41925366.290300138</v>
      </c>
    </row>
    <row r="47" spans="1:58" x14ac:dyDescent="0.2">
      <c r="A47" s="1">
        <v>45251</v>
      </c>
      <c r="B47">
        <v>-11795.5569462976</v>
      </c>
      <c r="C47">
        <v>-5123.3291080189501</v>
      </c>
      <c r="E47">
        <v>1926.574721167</v>
      </c>
      <c r="F47">
        <v>593.14674787432</v>
      </c>
      <c r="G47">
        <v>5074.99999999998</v>
      </c>
      <c r="I47">
        <v>2704</v>
      </c>
      <c r="J47">
        <v>2362.7646973331998</v>
      </c>
      <c r="L47">
        <v>5028.4306204983905</v>
      </c>
      <c r="M47">
        <v>-21104.6</v>
      </c>
      <c r="N47">
        <v>-2522.2007099999701</v>
      </c>
      <c r="O47">
        <v>10649.9999999999</v>
      </c>
      <c r="P47">
        <v>959</v>
      </c>
      <c r="Q47">
        <v>4770</v>
      </c>
      <c r="R47">
        <v>7344</v>
      </c>
      <c r="T47">
        <v>486.76875153475402</v>
      </c>
      <c r="U47">
        <v>48</v>
      </c>
      <c r="V47">
        <v>-1325</v>
      </c>
      <c r="W47">
        <v>2326.0185925441601</v>
      </c>
      <c r="X47">
        <v>17259.152364521098</v>
      </c>
      <c r="Y47">
        <v>-11065.4091898284</v>
      </c>
      <c r="Z47">
        <v>-10653.0368791111</v>
      </c>
      <c r="AA47">
        <v>-821.99999999998897</v>
      </c>
      <c r="AC47">
        <v>-5048</v>
      </c>
      <c r="AD47">
        <v>0</v>
      </c>
      <c r="AE47">
        <v>640</v>
      </c>
      <c r="AF47">
        <v>-4924.2153009195899</v>
      </c>
      <c r="AG47">
        <v>-17435.427591943298</v>
      </c>
      <c r="AH47">
        <v>4960</v>
      </c>
      <c r="AK47">
        <v>9803.607</v>
      </c>
      <c r="AL47">
        <v>6711.7085239645003</v>
      </c>
      <c r="AM47">
        <v>-50</v>
      </c>
      <c r="AN47">
        <v>-946</v>
      </c>
      <c r="AP47">
        <v>-33957</v>
      </c>
      <c r="AQ47">
        <v>-4536</v>
      </c>
      <c r="AR47">
        <v>-3904.6940164407802</v>
      </c>
      <c r="AS47">
        <v>-5865</v>
      </c>
      <c r="AU47">
        <v>-10209</v>
      </c>
      <c r="AV47">
        <v>-6458.9306474056002</v>
      </c>
      <c r="AX47">
        <v>6851</v>
      </c>
      <c r="AY47">
        <v>-4904.5500674095001</v>
      </c>
      <c r="AZ47">
        <v>16784.948667746201</v>
      </c>
      <c r="BA47">
        <v>-8997.4209409689392</v>
      </c>
      <c r="BC47">
        <v>847.022771152063</v>
      </c>
      <c r="BE47">
        <f t="shared" si="0"/>
        <v>-63516.227940008153</v>
      </c>
      <c r="BF47">
        <f t="shared" si="1"/>
        <v>41861850.06236013</v>
      </c>
    </row>
    <row r="48" spans="1:58" x14ac:dyDescent="0.2">
      <c r="A48" s="1">
        <v>45252</v>
      </c>
      <c r="B48">
        <v>-2106</v>
      </c>
      <c r="C48">
        <v>2261</v>
      </c>
      <c r="E48">
        <v>-3441.6654079401201</v>
      </c>
      <c r="F48">
        <v>206</v>
      </c>
      <c r="G48">
        <v>-3149.9999999997999</v>
      </c>
      <c r="I48">
        <v>-728</v>
      </c>
      <c r="J48">
        <v>-2127.8343318164698</v>
      </c>
      <c r="L48">
        <v>4134.70511516645</v>
      </c>
      <c r="M48">
        <v>6624.6000000000604</v>
      </c>
      <c r="N48">
        <v>848.26418898321901</v>
      </c>
      <c r="O48">
        <v>-12495.9999999998</v>
      </c>
      <c r="P48">
        <v>-5617</v>
      </c>
      <c r="Q48">
        <v>-3710</v>
      </c>
      <c r="R48">
        <v>-7344</v>
      </c>
      <c r="T48">
        <v>-25567.515228333599</v>
      </c>
      <c r="U48">
        <v>-285.81300518299901</v>
      </c>
      <c r="V48">
        <v>-1575</v>
      </c>
      <c r="W48">
        <v>784</v>
      </c>
      <c r="X48">
        <v>-18342</v>
      </c>
      <c r="Y48">
        <v>16200</v>
      </c>
      <c r="Z48">
        <v>7686</v>
      </c>
      <c r="AA48">
        <v>-927.00000000001603</v>
      </c>
      <c r="AC48">
        <v>10356.095963117599</v>
      </c>
      <c r="AD48">
        <v>0</v>
      </c>
      <c r="AE48">
        <v>-1248</v>
      </c>
      <c r="AF48">
        <v>3740</v>
      </c>
      <c r="AG48">
        <v>3920.5164146781599</v>
      </c>
      <c r="AH48">
        <v>-2790</v>
      </c>
      <c r="AK48">
        <v>-1960.3400734019001</v>
      </c>
      <c r="AL48">
        <v>6559.5668025756004</v>
      </c>
      <c r="AM48">
        <v>5650</v>
      </c>
      <c r="AN48">
        <v>5412</v>
      </c>
      <c r="AP48">
        <v>68551.648453715403</v>
      </c>
      <c r="AQ48">
        <v>8586</v>
      </c>
      <c r="AR48">
        <v>2398</v>
      </c>
      <c r="AS48">
        <v>1842.8131050381701</v>
      </c>
      <c r="AU48">
        <v>-6020.5536826567504</v>
      </c>
      <c r="AV48">
        <v>28314</v>
      </c>
      <c r="AX48">
        <v>-9792</v>
      </c>
      <c r="AY48">
        <v>0</v>
      </c>
      <c r="AZ48">
        <v>-12225.4872544833</v>
      </c>
      <c r="BA48">
        <v>7074.55482396364</v>
      </c>
      <c r="BC48">
        <v>6713.4874517632597</v>
      </c>
      <c r="BE48">
        <f t="shared" si="0"/>
        <v>76409.043335186812</v>
      </c>
      <c r="BF48">
        <f t="shared" si="1"/>
        <v>41938259.105695315</v>
      </c>
    </row>
    <row r="49" spans="1:58" x14ac:dyDescent="0.2">
      <c r="A49" s="1">
        <v>45253</v>
      </c>
      <c r="B49">
        <v>9477</v>
      </c>
      <c r="C49">
        <v>3689</v>
      </c>
      <c r="E49">
        <v>5408</v>
      </c>
      <c r="F49">
        <v>8.68285063352692</v>
      </c>
      <c r="G49">
        <v>-5775.0000000002101</v>
      </c>
      <c r="I49">
        <v>-3904.6604292379102</v>
      </c>
      <c r="J49">
        <v>6107.6563231219698</v>
      </c>
      <c r="L49">
        <v>4785.2699069622404</v>
      </c>
      <c r="M49">
        <v>-1194.6000000000599</v>
      </c>
      <c r="N49">
        <v>-421.776480000015</v>
      </c>
      <c r="O49">
        <v>7242.0000000002701</v>
      </c>
      <c r="P49">
        <v>14659</v>
      </c>
      <c r="Q49">
        <v>14310</v>
      </c>
      <c r="R49">
        <v>18360</v>
      </c>
      <c r="T49">
        <v>-12034.8884303461</v>
      </c>
      <c r="U49">
        <v>-270</v>
      </c>
      <c r="V49">
        <v>1650</v>
      </c>
      <c r="W49">
        <v>-824</v>
      </c>
      <c r="X49">
        <v>-6850.4723288842497</v>
      </c>
      <c r="Y49">
        <v>1944</v>
      </c>
      <c r="Z49">
        <v>8418</v>
      </c>
      <c r="AA49">
        <v>978.00000000001</v>
      </c>
      <c r="AC49">
        <v>8091</v>
      </c>
      <c r="AD49">
        <v>-488</v>
      </c>
      <c r="AE49">
        <v>832</v>
      </c>
      <c r="AF49">
        <v>-343.80570799974703</v>
      </c>
      <c r="AG49">
        <v>2640</v>
      </c>
      <c r="AH49">
        <v>-5270</v>
      </c>
      <c r="AK49">
        <v>-4055.2902951992601</v>
      </c>
      <c r="AL49">
        <v>13403.596103018999</v>
      </c>
      <c r="AM49">
        <v>1675</v>
      </c>
      <c r="AN49">
        <v>502.63405038713</v>
      </c>
      <c r="AP49">
        <v>30547.600775639599</v>
      </c>
      <c r="AQ49">
        <v>10527.147569635001</v>
      </c>
      <c r="AR49">
        <v>-13516</v>
      </c>
      <c r="AS49">
        <v>5775</v>
      </c>
      <c r="AU49">
        <v>10925.594396807301</v>
      </c>
      <c r="AV49">
        <v>5082</v>
      </c>
      <c r="AX49">
        <v>1105</v>
      </c>
      <c r="AY49">
        <v>-3905.05529999999</v>
      </c>
      <c r="AZ49">
        <v>0</v>
      </c>
      <c r="BA49">
        <v>1706.1859648657301</v>
      </c>
      <c r="BC49">
        <v>2308.1129440332402</v>
      </c>
      <c r="BE49">
        <f t="shared" si="0"/>
        <v>133303.93191343747</v>
      </c>
      <c r="BF49">
        <f t="shared" si="1"/>
        <v>42071563.03760875</v>
      </c>
    </row>
    <row r="50" spans="1:58" x14ac:dyDescent="0.2">
      <c r="A50" s="1">
        <v>45254</v>
      </c>
      <c r="B50">
        <v>3483</v>
      </c>
      <c r="C50">
        <v>4146.2907636254704</v>
      </c>
      <c r="E50">
        <v>61.848880064604401</v>
      </c>
      <c r="F50">
        <v>247.11394789526099</v>
      </c>
      <c r="G50">
        <v>-3325.00000000002</v>
      </c>
      <c r="I50">
        <v>-7910</v>
      </c>
      <c r="J50">
        <v>667.21558696794898</v>
      </c>
      <c r="L50">
        <v>1013.36261622951</v>
      </c>
      <c r="M50">
        <v>-8760.3999999999305</v>
      </c>
      <c r="N50">
        <v>846.38207999999202</v>
      </c>
      <c r="O50">
        <v>-10507.9999999999</v>
      </c>
      <c r="P50">
        <v>-1644</v>
      </c>
      <c r="Q50">
        <v>-11660</v>
      </c>
      <c r="R50">
        <v>12240</v>
      </c>
      <c r="T50">
        <v>17756.8427599481</v>
      </c>
      <c r="U50">
        <v>-967.97446556087004</v>
      </c>
      <c r="V50">
        <v>-50</v>
      </c>
      <c r="W50">
        <v>-32</v>
      </c>
      <c r="X50">
        <v>-3807.8600533086401</v>
      </c>
      <c r="Y50">
        <v>16704</v>
      </c>
      <c r="Z50">
        <v>17147.672433123698</v>
      </c>
      <c r="AA50">
        <v>-105</v>
      </c>
      <c r="AC50">
        <v>-4459.8204580256797</v>
      </c>
      <c r="AD50">
        <v>-32</v>
      </c>
      <c r="AE50">
        <v>-2112</v>
      </c>
      <c r="AF50">
        <v>1931.1709141061899</v>
      </c>
      <c r="AG50">
        <v>11495</v>
      </c>
      <c r="AH50">
        <v>-2170</v>
      </c>
      <c r="AK50">
        <v>-4760.8991999999998</v>
      </c>
      <c r="AL50">
        <v>12717.976186653101</v>
      </c>
      <c r="AM50">
        <v>842.58669697801804</v>
      </c>
      <c r="AN50">
        <v>-29.664446416620201</v>
      </c>
      <c r="AP50">
        <v>7864.2119863858197</v>
      </c>
      <c r="AQ50">
        <v>-2254</v>
      </c>
      <c r="AR50">
        <v>6916.3769181079497</v>
      </c>
      <c r="AS50">
        <v>84</v>
      </c>
      <c r="AU50">
        <v>2360</v>
      </c>
      <c r="AV50">
        <v>-14520</v>
      </c>
      <c r="AX50">
        <v>-6137</v>
      </c>
      <c r="AY50">
        <v>3640.2663810449899</v>
      </c>
      <c r="AZ50">
        <v>0</v>
      </c>
      <c r="BA50">
        <v>0</v>
      </c>
      <c r="BC50">
        <v>3290.1651229528502</v>
      </c>
      <c r="BE50">
        <f t="shared" si="0"/>
        <v>40209.864650771837</v>
      </c>
      <c r="BF50">
        <f t="shared" si="1"/>
        <v>42111772.902259521</v>
      </c>
    </row>
    <row r="51" spans="1:58" x14ac:dyDescent="0.2">
      <c r="A51" s="1">
        <v>45257</v>
      </c>
      <c r="B51">
        <v>19926</v>
      </c>
      <c r="C51">
        <v>4598.9609282718302</v>
      </c>
      <c r="E51">
        <v>23792.999286054899</v>
      </c>
      <c r="F51">
        <v>41.483268782092601</v>
      </c>
      <c r="G51">
        <v>525.00000000001899</v>
      </c>
      <c r="I51">
        <v>-1274</v>
      </c>
      <c r="J51">
        <v>20067.316774746101</v>
      </c>
      <c r="L51">
        <v>38648.895530173002</v>
      </c>
      <c r="M51">
        <v>-8579.3999999999305</v>
      </c>
      <c r="N51">
        <v>728.26906000002396</v>
      </c>
      <c r="O51">
        <v>-284.00000000034697</v>
      </c>
      <c r="P51">
        <v>-10823</v>
      </c>
      <c r="Q51">
        <v>11633.642477966199</v>
      </c>
      <c r="R51">
        <v>17952</v>
      </c>
      <c r="T51">
        <v>5833</v>
      </c>
      <c r="U51">
        <v>346.086567322539</v>
      </c>
      <c r="V51">
        <v>3650</v>
      </c>
      <c r="W51">
        <v>1544</v>
      </c>
      <c r="X51">
        <v>-17598.8373704351</v>
      </c>
      <c r="Y51">
        <v>11004.8392255337</v>
      </c>
      <c r="Z51">
        <v>19294.992396984999</v>
      </c>
      <c r="AA51">
        <v>2126.99999999998</v>
      </c>
      <c r="AC51">
        <v>5590</v>
      </c>
      <c r="AD51">
        <v>696</v>
      </c>
      <c r="AE51">
        <v>-2658.1947920298398</v>
      </c>
      <c r="AF51">
        <v>3115.10359568476</v>
      </c>
      <c r="AG51">
        <v>6710</v>
      </c>
      <c r="AH51">
        <v>17917.968886280702</v>
      </c>
      <c r="AK51">
        <v>-16519.273799999999</v>
      </c>
      <c r="AL51">
        <v>20026.0822077667</v>
      </c>
      <c r="AM51">
        <v>-16851.182939834998</v>
      </c>
      <c r="AN51">
        <v>-15928.588754305099</v>
      </c>
      <c r="AP51">
        <v>3230</v>
      </c>
      <c r="AQ51">
        <v>9016</v>
      </c>
      <c r="AR51">
        <v>4654</v>
      </c>
      <c r="AS51">
        <v>9219</v>
      </c>
      <c r="AU51">
        <v>25960</v>
      </c>
      <c r="AV51">
        <v>6987.1902752940396</v>
      </c>
      <c r="AX51">
        <v>-2856</v>
      </c>
      <c r="AY51">
        <v>0</v>
      </c>
      <c r="AZ51">
        <v>0</v>
      </c>
      <c r="BA51">
        <v>-914.49974000001203</v>
      </c>
      <c r="BC51">
        <v>-18558.5166022704</v>
      </c>
      <c r="BE51">
        <f t="shared" si="0"/>
        <v>181990.33648198587</v>
      </c>
      <c r="BF51">
        <f t="shared" si="1"/>
        <v>42293763.23874151</v>
      </c>
    </row>
    <row r="52" spans="1:58" x14ac:dyDescent="0.2">
      <c r="A52" s="1">
        <v>45258</v>
      </c>
      <c r="B52">
        <v>5670</v>
      </c>
      <c r="C52">
        <v>1243.33694521807</v>
      </c>
      <c r="E52">
        <v>-7676</v>
      </c>
      <c r="F52">
        <v>-3011.24816862426</v>
      </c>
      <c r="G52">
        <v>-17324.999999999702</v>
      </c>
      <c r="I52">
        <v>-14056</v>
      </c>
      <c r="J52">
        <v>-15669.8595535282</v>
      </c>
      <c r="L52">
        <v>-28365</v>
      </c>
      <c r="M52">
        <v>-22371.599999999999</v>
      </c>
      <c r="N52">
        <v>1554.15032418687</v>
      </c>
      <c r="O52">
        <v>-6248.00000000006</v>
      </c>
      <c r="P52">
        <v>-12907.4130615883</v>
      </c>
      <c r="Q52">
        <v>-3000</v>
      </c>
      <c r="R52">
        <v>-5304</v>
      </c>
      <c r="T52">
        <v>12293.6698556956</v>
      </c>
      <c r="U52">
        <v>1046.9547849809001</v>
      </c>
      <c r="V52">
        <v>-1222.31453451376</v>
      </c>
      <c r="W52">
        <v>-1680</v>
      </c>
      <c r="X52">
        <v>8057.0339322112904</v>
      </c>
      <c r="Y52">
        <v>401.43003381058901</v>
      </c>
      <c r="Z52">
        <v>-5980.4309460620698</v>
      </c>
      <c r="AA52">
        <v>-577.34151165165804</v>
      </c>
      <c r="AC52">
        <v>2950</v>
      </c>
      <c r="AD52">
        <v>-520</v>
      </c>
      <c r="AE52">
        <v>2385.8760656593099</v>
      </c>
      <c r="AF52">
        <v>-9216.2035013652203</v>
      </c>
      <c r="AG52">
        <v>8256.3262657284195</v>
      </c>
      <c r="AH52">
        <v>0</v>
      </c>
      <c r="AK52">
        <v>-1598.6394</v>
      </c>
      <c r="AL52">
        <v>13954.960313241099</v>
      </c>
      <c r="AM52">
        <v>-756.28945886447195</v>
      </c>
      <c r="AN52">
        <v>-718.65641954137698</v>
      </c>
      <c r="AP52">
        <v>-10030</v>
      </c>
      <c r="AQ52">
        <v>-5313</v>
      </c>
      <c r="AR52">
        <v>-3759</v>
      </c>
      <c r="AS52">
        <v>-6594.3008935166299</v>
      </c>
      <c r="AU52">
        <v>-6136</v>
      </c>
      <c r="AV52">
        <v>240</v>
      </c>
      <c r="AX52">
        <v>-7446</v>
      </c>
      <c r="AY52">
        <v>-2956.3391999999299</v>
      </c>
      <c r="AZ52">
        <v>6176.6602499997698</v>
      </c>
      <c r="BA52">
        <v>-475.06479999997299</v>
      </c>
      <c r="BC52">
        <v>499.13835938752499</v>
      </c>
      <c r="BE52">
        <f t="shared" si="0"/>
        <v>-136184.16431913615</v>
      </c>
      <c r="BF52">
        <f t="shared" si="1"/>
        <v>42157579.074422374</v>
      </c>
    </row>
    <row r="53" spans="1:58" x14ac:dyDescent="0.2">
      <c r="A53" s="1">
        <v>45259</v>
      </c>
      <c r="B53">
        <v>6278.2892092919001</v>
      </c>
      <c r="C53">
        <v>-15983.000866018199</v>
      </c>
      <c r="E53">
        <v>8484</v>
      </c>
      <c r="F53">
        <v>-504</v>
      </c>
      <c r="G53">
        <v>17307.973553465399</v>
      </c>
      <c r="I53">
        <v>13765.607756060001</v>
      </c>
      <c r="J53">
        <v>5217</v>
      </c>
      <c r="L53">
        <v>29450</v>
      </c>
      <c r="M53">
        <v>-5129.66332846566</v>
      </c>
      <c r="N53">
        <v>2625.5497560089402</v>
      </c>
      <c r="O53">
        <v>16898.0000000002</v>
      </c>
      <c r="P53">
        <v>15352.0150742226</v>
      </c>
      <c r="Q53">
        <v>4000</v>
      </c>
      <c r="R53">
        <v>-5916</v>
      </c>
      <c r="T53">
        <v>-912.78022484610801</v>
      </c>
      <c r="U53">
        <v>4628.3082187345199</v>
      </c>
      <c r="V53">
        <v>3900</v>
      </c>
      <c r="W53">
        <v>-2992</v>
      </c>
      <c r="X53">
        <v>-7255.2598346175</v>
      </c>
      <c r="Y53">
        <v>10725.4675927884</v>
      </c>
      <c r="Z53">
        <v>15699.9392229816</v>
      </c>
      <c r="AA53">
        <v>1698.1659830093599</v>
      </c>
      <c r="AC53">
        <v>11612.7264363542</v>
      </c>
      <c r="AD53">
        <v>160</v>
      </c>
      <c r="AE53">
        <v>341.43763137017999</v>
      </c>
      <c r="AF53">
        <v>10541</v>
      </c>
      <c r="AG53">
        <v>6051.9432957394201</v>
      </c>
      <c r="AH53">
        <v>-612.54049681429001</v>
      </c>
      <c r="AK53">
        <v>4204.2268871469996</v>
      </c>
      <c r="AL53">
        <v>8790.9283613532407</v>
      </c>
      <c r="AM53">
        <v>-7382.4291951353398</v>
      </c>
      <c r="AN53">
        <v>-4529.9301001829699</v>
      </c>
      <c r="AP53">
        <v>-74120</v>
      </c>
      <c r="AQ53">
        <v>-4025</v>
      </c>
      <c r="AR53">
        <v>9308</v>
      </c>
      <c r="AS53">
        <v>5304</v>
      </c>
      <c r="AU53">
        <v>8732</v>
      </c>
      <c r="AV53">
        <v>-5280</v>
      </c>
      <c r="AX53">
        <v>13974</v>
      </c>
      <c r="AY53">
        <v>-1050.86099183243</v>
      </c>
      <c r="AZ53">
        <v>7013.8413000001401</v>
      </c>
      <c r="BA53">
        <v>-712.10520000002703</v>
      </c>
      <c r="BC53">
        <v>-2112.7952197665199</v>
      </c>
      <c r="BE53">
        <f t="shared" si="0"/>
        <v>103546.05482084802</v>
      </c>
      <c r="BF53">
        <f t="shared" si="1"/>
        <v>42261125.129243225</v>
      </c>
    </row>
    <row r="54" spans="1:58" x14ac:dyDescent="0.2">
      <c r="A54" s="1">
        <v>45260</v>
      </c>
      <c r="B54">
        <v>8320.5983016230202</v>
      </c>
      <c r="C54">
        <v>23520</v>
      </c>
      <c r="E54">
        <v>15524.3507777987</v>
      </c>
      <c r="F54">
        <v>-784</v>
      </c>
      <c r="G54">
        <v>-14559.9999999998</v>
      </c>
      <c r="I54">
        <v>-3179</v>
      </c>
      <c r="J54">
        <v>-19646</v>
      </c>
      <c r="L54">
        <v>-12400</v>
      </c>
      <c r="M54">
        <v>-13240.0838510375</v>
      </c>
      <c r="N54">
        <v>1001.50261045474</v>
      </c>
      <c r="O54">
        <v>-12637.9999999998</v>
      </c>
      <c r="P54">
        <v>2736</v>
      </c>
      <c r="Q54">
        <v>2500</v>
      </c>
      <c r="R54">
        <v>7344</v>
      </c>
      <c r="T54">
        <v>9150.1415512803105</v>
      </c>
      <c r="U54">
        <v>-511.98638267120202</v>
      </c>
      <c r="V54">
        <v>1927.86612964238</v>
      </c>
      <c r="W54">
        <v>-1644.46126147477</v>
      </c>
      <c r="X54">
        <v>-67.105698997296798</v>
      </c>
      <c r="Y54">
        <v>10593.0197514101</v>
      </c>
      <c r="Z54">
        <v>9359.2801586182195</v>
      </c>
      <c r="AA54">
        <v>1207.0079018930801</v>
      </c>
      <c r="AC54">
        <v>-16401</v>
      </c>
      <c r="AD54">
        <v>56</v>
      </c>
      <c r="AE54">
        <v>-37.363335275094201</v>
      </c>
      <c r="AF54">
        <v>29718</v>
      </c>
      <c r="AG54">
        <v>35515.394273737998</v>
      </c>
      <c r="AH54">
        <v>3281.8535261305001</v>
      </c>
      <c r="AK54">
        <v>-13291.53</v>
      </c>
      <c r="AL54">
        <v>26513.336072044</v>
      </c>
      <c r="AM54">
        <v>-1191.2517192574101</v>
      </c>
      <c r="AN54">
        <v>-567.30199981362102</v>
      </c>
      <c r="AP54">
        <v>35514.716059334503</v>
      </c>
      <c r="AQ54">
        <v>18032</v>
      </c>
      <c r="AR54">
        <v>4402.7415878884603</v>
      </c>
      <c r="AS54">
        <v>1674.6013614865301</v>
      </c>
      <c r="AU54">
        <v>-4956</v>
      </c>
      <c r="AV54">
        <v>-7200</v>
      </c>
      <c r="AX54">
        <v>-15181</v>
      </c>
      <c r="AY54">
        <v>-8610.8241965001307</v>
      </c>
      <c r="AZ54">
        <v>31376.0634399997</v>
      </c>
      <c r="BA54">
        <v>-106.457328947524</v>
      </c>
      <c r="BC54">
        <v>-6409.3295688261496</v>
      </c>
      <c r="BE54">
        <f t="shared" si="0"/>
        <v>126645.77816054193</v>
      </c>
      <c r="BF54">
        <f t="shared" si="1"/>
        <v>42387770.907403767</v>
      </c>
    </row>
    <row r="55" spans="1:58" x14ac:dyDescent="0.2">
      <c r="A55" s="1">
        <v>45261</v>
      </c>
      <c r="B55">
        <v>4912.12153456125</v>
      </c>
      <c r="C55">
        <v>3220</v>
      </c>
      <c r="E55">
        <v>8836.1363178658303</v>
      </c>
      <c r="F55">
        <v>5236</v>
      </c>
      <c r="G55">
        <v>-18728.009276850102</v>
      </c>
      <c r="I55">
        <v>-5973</v>
      </c>
      <c r="J55">
        <v>4091.47178669302</v>
      </c>
      <c r="L55">
        <v>5425</v>
      </c>
      <c r="M55">
        <v>-18445.109030539301</v>
      </c>
      <c r="N55">
        <v>4933.0675500001598</v>
      </c>
      <c r="O55">
        <v>-5396.00000000003</v>
      </c>
      <c r="P55">
        <v>19380</v>
      </c>
      <c r="Q55">
        <v>-2000</v>
      </c>
      <c r="R55">
        <v>3053.4981428364599</v>
      </c>
      <c r="T55">
        <v>8278.5992212820092</v>
      </c>
      <c r="U55">
        <v>1887.9641814612801</v>
      </c>
      <c r="V55">
        <v>6802.8273274720796</v>
      </c>
      <c r="W55">
        <v>-88.9458753784983</v>
      </c>
      <c r="X55">
        <v>-3033.1873884029201</v>
      </c>
      <c r="Y55">
        <v>15669.4792239242</v>
      </c>
      <c r="Z55">
        <v>972.40787536296705</v>
      </c>
      <c r="AA55">
        <v>4447.9609271470699</v>
      </c>
      <c r="AC55">
        <v>14179</v>
      </c>
      <c r="AD55">
        <v>0</v>
      </c>
      <c r="AE55">
        <v>-320</v>
      </c>
      <c r="AF55">
        <v>10901.4663186824</v>
      </c>
      <c r="AG55">
        <v>-15330</v>
      </c>
      <c r="AH55">
        <v>4402.2852669939402</v>
      </c>
      <c r="AK55">
        <v>-15638.9848626369</v>
      </c>
      <c r="AL55">
        <v>14034.492794619</v>
      </c>
      <c r="AM55">
        <v>524.638184984948</v>
      </c>
      <c r="AN55">
        <v>958.56365195795604</v>
      </c>
      <c r="AP55">
        <v>12797.665362064899</v>
      </c>
      <c r="AQ55">
        <v>-16422</v>
      </c>
      <c r="AR55">
        <v>-5306.50337147153</v>
      </c>
      <c r="AS55">
        <v>22476.741955343499</v>
      </c>
      <c r="AU55">
        <v>1652</v>
      </c>
      <c r="AV55">
        <v>2342.7060876719102</v>
      </c>
      <c r="AX55">
        <v>-14137.9166950042</v>
      </c>
      <c r="AY55">
        <v>0</v>
      </c>
      <c r="AZ55">
        <v>-24940.685399999998</v>
      </c>
      <c r="BA55">
        <v>-16.131181179781802</v>
      </c>
      <c r="BC55">
        <v>-1527.06210782009</v>
      </c>
      <c r="BE55">
        <f t="shared" si="0"/>
        <v>34112.558521641506</v>
      </c>
      <c r="BF55">
        <f t="shared" si="1"/>
        <v>42421883.46592541</v>
      </c>
    </row>
    <row r="56" spans="1:58" x14ac:dyDescent="0.2">
      <c r="A56" s="1">
        <v>45264</v>
      </c>
      <c r="B56">
        <v>24871.7642989407</v>
      </c>
      <c r="C56">
        <v>-7420</v>
      </c>
      <c r="E56">
        <v>42656.132231885</v>
      </c>
      <c r="F56">
        <v>-2380</v>
      </c>
      <c r="G56">
        <v>-15633.5277016197</v>
      </c>
      <c r="I56">
        <v>-5814.1276884872204</v>
      </c>
      <c r="J56">
        <v>9611.1028836380592</v>
      </c>
      <c r="L56">
        <v>46190</v>
      </c>
      <c r="M56">
        <v>-7314.5193867122898</v>
      </c>
      <c r="N56">
        <v>-6130.38944261913</v>
      </c>
      <c r="O56">
        <v>-5449.14647462624</v>
      </c>
      <c r="P56">
        <v>26794.173780956298</v>
      </c>
      <c r="Q56">
        <v>30500</v>
      </c>
      <c r="R56">
        <v>1403.35781557417</v>
      </c>
      <c r="T56">
        <v>-4283.3065133136097</v>
      </c>
      <c r="U56">
        <v>-12719.3806952582</v>
      </c>
      <c r="V56">
        <v>11900</v>
      </c>
      <c r="W56">
        <v>-653.81619495877499</v>
      </c>
      <c r="X56">
        <v>-538.03397987263304</v>
      </c>
      <c r="Y56">
        <v>38.088325837206398</v>
      </c>
      <c r="Z56">
        <v>43727.9590997017</v>
      </c>
      <c r="AA56">
        <v>7314.8398393034304</v>
      </c>
      <c r="AC56">
        <v>2013</v>
      </c>
      <c r="AD56">
        <v>1224</v>
      </c>
      <c r="AE56">
        <v>43.222805960739102</v>
      </c>
      <c r="AF56">
        <v>637.877165822645</v>
      </c>
      <c r="AG56">
        <v>13185</v>
      </c>
      <c r="AH56">
        <v>16509.801947800399</v>
      </c>
      <c r="AI56">
        <v>0</v>
      </c>
      <c r="AK56">
        <v>-10468.688546986201</v>
      </c>
      <c r="AL56">
        <v>-11408.689372186</v>
      </c>
      <c r="AM56">
        <v>2606.6174041028398</v>
      </c>
      <c r="AN56">
        <v>4339.9742300479702</v>
      </c>
      <c r="AP56">
        <v>-2187</v>
      </c>
      <c r="AQ56">
        <v>-3703</v>
      </c>
      <c r="AR56">
        <v>16038</v>
      </c>
      <c r="AS56">
        <v>25541.623255035898</v>
      </c>
      <c r="AU56">
        <v>16284</v>
      </c>
      <c r="AV56">
        <v>220</v>
      </c>
      <c r="AX56">
        <v>-10277.7802601406</v>
      </c>
      <c r="AY56">
        <v>-276.77092402325599</v>
      </c>
      <c r="AZ56">
        <v>27671.076516251</v>
      </c>
      <c r="BA56">
        <v>2669.23890701456</v>
      </c>
      <c r="BC56">
        <v>-856.55499515967995</v>
      </c>
      <c r="BE56">
        <f t="shared" si="0"/>
        <v>266476.11833190901</v>
      </c>
      <c r="BF56">
        <f t="shared" si="1"/>
        <v>42688359.58425732</v>
      </c>
    </row>
    <row r="57" spans="1:58" x14ac:dyDescent="0.2">
      <c r="A57" s="1">
        <v>45265</v>
      </c>
      <c r="B57">
        <v>-13755</v>
      </c>
      <c r="C57">
        <v>-4900</v>
      </c>
      <c r="E57">
        <v>-40075</v>
      </c>
      <c r="F57">
        <v>2548</v>
      </c>
      <c r="G57">
        <v>-23893.172474628602</v>
      </c>
      <c r="I57">
        <v>-14684.8218105985</v>
      </c>
      <c r="J57">
        <v>8855</v>
      </c>
      <c r="L57">
        <v>-1555.5221376029799</v>
      </c>
      <c r="M57">
        <v>-4116.4041354251704</v>
      </c>
      <c r="N57">
        <v>-9371.1423599997997</v>
      </c>
      <c r="O57">
        <v>-22588.447431246299</v>
      </c>
      <c r="P57">
        <v>2104.3017145263698</v>
      </c>
      <c r="Q57">
        <v>8500</v>
      </c>
      <c r="R57">
        <v>182.897880179178</v>
      </c>
      <c r="T57">
        <v>-5670</v>
      </c>
      <c r="U57">
        <v>-1032</v>
      </c>
      <c r="V57">
        <v>-11322.4810829854</v>
      </c>
      <c r="W57">
        <v>-1304</v>
      </c>
      <c r="X57">
        <v>-1877.4600957546299</v>
      </c>
      <c r="Y57">
        <v>-826.81459154008803</v>
      </c>
      <c r="Z57">
        <v>-51210</v>
      </c>
      <c r="AA57">
        <v>-10063.326647033</v>
      </c>
      <c r="AC57">
        <v>-35026.961731441603</v>
      </c>
      <c r="AD57">
        <v>-55.6927997691527</v>
      </c>
      <c r="AE57">
        <v>-72.892463004963403</v>
      </c>
      <c r="AF57">
        <v>-9460.5098639853804</v>
      </c>
      <c r="AG57">
        <v>8970</v>
      </c>
      <c r="AH57">
        <v>11074.6650057446</v>
      </c>
      <c r="AI57">
        <v>0</v>
      </c>
      <c r="AK57">
        <v>-2114.0296259843099</v>
      </c>
      <c r="AL57">
        <v>34338</v>
      </c>
      <c r="AM57">
        <v>-8921.6565595687407</v>
      </c>
      <c r="AN57">
        <v>-10603.901436346599</v>
      </c>
      <c r="AP57">
        <v>1215</v>
      </c>
      <c r="AQ57">
        <v>4347</v>
      </c>
      <c r="AR57">
        <v>4393.2366000045204</v>
      </c>
      <c r="AS57">
        <v>2822</v>
      </c>
      <c r="AU57">
        <v>13924</v>
      </c>
      <c r="AV57">
        <v>-5280</v>
      </c>
      <c r="AX57">
        <v>-19930.210481746399</v>
      </c>
      <c r="AY57">
        <v>0</v>
      </c>
      <c r="AZ57">
        <v>0</v>
      </c>
      <c r="BA57">
        <v>-3037.68805832724</v>
      </c>
      <c r="BC57">
        <v>552.43621787895904</v>
      </c>
      <c r="BE57">
        <f t="shared" si="0"/>
        <v>-208922.59836865525</v>
      </c>
      <c r="BF57">
        <f t="shared" si="1"/>
        <v>42479436.985888667</v>
      </c>
    </row>
    <row r="58" spans="1:58" x14ac:dyDescent="0.2">
      <c r="A58" s="1">
        <v>45266</v>
      </c>
      <c r="B58">
        <v>25620</v>
      </c>
      <c r="C58">
        <v>8680</v>
      </c>
      <c r="E58">
        <v>14358.050006862301</v>
      </c>
      <c r="F58">
        <v>-4857.96440912035</v>
      </c>
      <c r="G58">
        <v>-1616.89405487259</v>
      </c>
      <c r="I58">
        <v>1946.94753403359</v>
      </c>
      <c r="J58">
        <v>12145</v>
      </c>
      <c r="L58">
        <v>28272</v>
      </c>
      <c r="M58">
        <v>-5369.7484808259096</v>
      </c>
      <c r="N58">
        <v>9248.6255999999994</v>
      </c>
      <c r="O58">
        <v>-4950.3863366224696</v>
      </c>
      <c r="P58">
        <v>26145.261495221101</v>
      </c>
      <c r="Q58">
        <v>3500</v>
      </c>
      <c r="R58">
        <v>11414.9852612057</v>
      </c>
      <c r="T58">
        <v>31395</v>
      </c>
      <c r="U58">
        <v>6321</v>
      </c>
      <c r="V58">
        <v>29750</v>
      </c>
      <c r="W58">
        <v>1792</v>
      </c>
      <c r="X58">
        <v>-697.16920254315596</v>
      </c>
      <c r="Y58">
        <v>12184.6157836077</v>
      </c>
      <c r="Z58">
        <v>17936.1915060504</v>
      </c>
      <c r="AA58">
        <v>24082.5</v>
      </c>
      <c r="AC58">
        <v>7298.5201955441598</v>
      </c>
      <c r="AD58">
        <v>-249.240457665821</v>
      </c>
      <c r="AE58">
        <v>490</v>
      </c>
      <c r="AF58">
        <v>13195</v>
      </c>
      <c r="AG58">
        <v>16905</v>
      </c>
      <c r="AH58">
        <v>-1189.5227206045699</v>
      </c>
      <c r="AI58">
        <v>714</v>
      </c>
      <c r="AK58">
        <v>-1949.0954147182299</v>
      </c>
      <c r="AL58">
        <v>21534</v>
      </c>
      <c r="AM58">
        <v>21225</v>
      </c>
      <c r="AN58">
        <v>24500</v>
      </c>
      <c r="AP58">
        <v>7047</v>
      </c>
      <c r="AQ58">
        <v>-10626</v>
      </c>
      <c r="AR58">
        <v>3642.6613090989299</v>
      </c>
      <c r="AS58">
        <v>53153.085539116597</v>
      </c>
      <c r="AU58">
        <v>-12068.122455950401</v>
      </c>
      <c r="AV58">
        <v>324.71332995393101</v>
      </c>
      <c r="AX58">
        <v>-1736.0344859403599</v>
      </c>
      <c r="AY58">
        <v>0</v>
      </c>
      <c r="AZ58">
        <v>-20192.674327851801</v>
      </c>
      <c r="BA58">
        <v>3209.3259800000301</v>
      </c>
      <c r="BC58">
        <v>7364.55713632058</v>
      </c>
      <c r="BE58">
        <f t="shared" si="0"/>
        <v>379892.18833029945</v>
      </c>
      <c r="BF58">
        <f t="shared" si="1"/>
        <v>42859329.174218968</v>
      </c>
    </row>
    <row r="59" spans="1:58" x14ac:dyDescent="0.2">
      <c r="A59" s="1">
        <v>45267</v>
      </c>
      <c r="B59">
        <v>16590</v>
      </c>
      <c r="C59">
        <v>-22400</v>
      </c>
      <c r="E59">
        <v>-3366</v>
      </c>
      <c r="F59">
        <v>7368.3950379420903</v>
      </c>
      <c r="G59">
        <v>6606.5988430241796</v>
      </c>
      <c r="I59">
        <v>2725.6103920778201</v>
      </c>
      <c r="J59">
        <v>-188.26874771024799</v>
      </c>
      <c r="L59">
        <v>-44688</v>
      </c>
      <c r="M59">
        <v>5328.6762459860001</v>
      </c>
      <c r="N59">
        <v>549.49379999999996</v>
      </c>
      <c r="O59">
        <v>3988.6254018764998</v>
      </c>
      <c r="P59">
        <v>28980</v>
      </c>
      <c r="Q59">
        <v>-500</v>
      </c>
      <c r="R59">
        <v>12691.399267455001</v>
      </c>
      <c r="T59">
        <v>30380</v>
      </c>
      <c r="U59">
        <v>-11094</v>
      </c>
      <c r="V59">
        <v>1500</v>
      </c>
      <c r="W59">
        <v>2184</v>
      </c>
      <c r="X59">
        <v>-472.42497812929298</v>
      </c>
      <c r="Y59">
        <v>-9406.7374960963498</v>
      </c>
      <c r="Z59">
        <v>-2374.2548087138098</v>
      </c>
      <c r="AA59">
        <v>-721.49999999996396</v>
      </c>
      <c r="AC59">
        <v>16192</v>
      </c>
      <c r="AD59">
        <v>2310</v>
      </c>
      <c r="AE59">
        <v>-147.73396592358199</v>
      </c>
      <c r="AF59">
        <v>10150</v>
      </c>
      <c r="AG59">
        <v>15225</v>
      </c>
      <c r="AH59">
        <v>1178.1585946268999</v>
      </c>
      <c r="AI59">
        <v>191.931688371082</v>
      </c>
      <c r="AK59">
        <v>-449.56736993686798</v>
      </c>
      <c r="AL59">
        <v>-9894</v>
      </c>
      <c r="AM59">
        <v>8825</v>
      </c>
      <c r="AN59">
        <v>9156</v>
      </c>
      <c r="AP59">
        <v>-2511</v>
      </c>
      <c r="AQ59">
        <v>-15492.3353696256</v>
      </c>
      <c r="AR59">
        <v>12840.0025764982</v>
      </c>
      <c r="AS59">
        <v>15470</v>
      </c>
      <c r="AU59">
        <v>1434</v>
      </c>
      <c r="AV59">
        <v>-4156.8287058737696</v>
      </c>
      <c r="AX59">
        <v>7249.9749177926697</v>
      </c>
      <c r="AY59">
        <v>0</v>
      </c>
      <c r="AZ59">
        <v>-1209.95813840235</v>
      </c>
      <c r="BA59">
        <v>9711.9488199999505</v>
      </c>
      <c r="BC59">
        <v>-2640.7899972386999</v>
      </c>
      <c r="BE59">
        <f t="shared" si="0"/>
        <v>97113.416007999884</v>
      </c>
      <c r="BF59">
        <f t="shared" si="1"/>
        <v>42956442.590226971</v>
      </c>
    </row>
    <row r="60" spans="1:58" x14ac:dyDescent="0.2">
      <c r="A60" s="1">
        <v>45268</v>
      </c>
      <c r="B60">
        <v>-8505</v>
      </c>
      <c r="C60">
        <v>-43586.857687508702</v>
      </c>
      <c r="E60">
        <v>2604.03468500598</v>
      </c>
      <c r="F60">
        <v>-5249</v>
      </c>
      <c r="G60">
        <v>3939.6934235230501</v>
      </c>
      <c r="I60">
        <v>1394</v>
      </c>
      <c r="J60">
        <v>3786.8372127125099</v>
      </c>
      <c r="L60">
        <v>6632.5404097217197</v>
      </c>
      <c r="M60">
        <v>5672.8999999999896</v>
      </c>
      <c r="N60">
        <v>-11133.912</v>
      </c>
      <c r="O60">
        <v>13631.9999999997</v>
      </c>
      <c r="P60">
        <v>2760</v>
      </c>
      <c r="Q60">
        <v>7500</v>
      </c>
      <c r="R60">
        <v>-2773.7116576318799</v>
      </c>
      <c r="T60">
        <v>-11410</v>
      </c>
      <c r="U60">
        <v>-11369.7947427242</v>
      </c>
      <c r="V60">
        <v>-625</v>
      </c>
      <c r="W60">
        <v>512.054208220551</v>
      </c>
      <c r="X60">
        <v>152</v>
      </c>
      <c r="Y60">
        <v>-896</v>
      </c>
      <c r="Z60">
        <v>-5125.8565180842297</v>
      </c>
      <c r="AA60">
        <v>1072.5</v>
      </c>
      <c r="AC60">
        <v>-2145</v>
      </c>
      <c r="AD60">
        <v>-668.65632432848304</v>
      </c>
      <c r="AE60">
        <v>458.71278053331599</v>
      </c>
      <c r="AF60">
        <v>-1318.2363856664899</v>
      </c>
      <c r="AG60">
        <v>-1118.94591809858</v>
      </c>
      <c r="AH60">
        <v>3245.5400527720799</v>
      </c>
      <c r="AI60">
        <v>436.99358319801098</v>
      </c>
      <c r="AK60">
        <v>-1290.94076019266</v>
      </c>
      <c r="AL60">
        <v>23862</v>
      </c>
      <c r="AM60">
        <v>822.71314250350997</v>
      </c>
      <c r="AN60">
        <v>2116.0224304623998</v>
      </c>
      <c r="AP60">
        <v>2187</v>
      </c>
      <c r="AQ60">
        <v>10600.4936796817</v>
      </c>
      <c r="AR60">
        <v>1999.3969057096299</v>
      </c>
      <c r="AS60">
        <v>6300</v>
      </c>
      <c r="AU60">
        <v>-4780</v>
      </c>
      <c r="AV60">
        <v>-226.23258730016801</v>
      </c>
      <c r="AX60">
        <v>2868</v>
      </c>
      <c r="AY60">
        <v>0</v>
      </c>
      <c r="AZ60">
        <v>-14480.274386741999</v>
      </c>
      <c r="BA60">
        <v>1195.38115841938</v>
      </c>
      <c r="BC60">
        <v>-1780.1442936404901</v>
      </c>
      <c r="BE60">
        <f t="shared" si="0"/>
        <v>-22732.749589454354</v>
      </c>
      <c r="BF60">
        <f t="shared" si="1"/>
        <v>42933709.84063752</v>
      </c>
    </row>
    <row r="61" spans="1:58" x14ac:dyDescent="0.2">
      <c r="A61" s="1">
        <v>45271</v>
      </c>
      <c r="B61">
        <v>25410</v>
      </c>
      <c r="C61">
        <v>3984.05067081275</v>
      </c>
      <c r="E61">
        <v>12950</v>
      </c>
      <c r="F61">
        <v>-4509.3577647519996</v>
      </c>
      <c r="G61">
        <v>8320</v>
      </c>
      <c r="I61">
        <v>2406</v>
      </c>
      <c r="J61">
        <v>6346.2810641140804</v>
      </c>
      <c r="L61">
        <v>-45889.152355111502</v>
      </c>
      <c r="M61">
        <v>4913.9627129197297</v>
      </c>
      <c r="N61">
        <v>-14681.517086059601</v>
      </c>
      <c r="O61">
        <v>4608.0000000001701</v>
      </c>
      <c r="P61">
        <v>7590</v>
      </c>
      <c r="Q61">
        <v>7500</v>
      </c>
      <c r="R61">
        <v>9341.1817116762104</v>
      </c>
      <c r="T61">
        <v>9275</v>
      </c>
      <c r="U61">
        <v>-18148.0196397777</v>
      </c>
      <c r="V61">
        <v>26250</v>
      </c>
      <c r="W61">
        <v>7764.6028199426801</v>
      </c>
      <c r="X61">
        <v>-1041.1127209932199</v>
      </c>
      <c r="Y61">
        <v>13776</v>
      </c>
      <c r="Z61">
        <v>14095.06557149</v>
      </c>
      <c r="AA61">
        <v>20241</v>
      </c>
      <c r="AC61">
        <v>34166</v>
      </c>
      <c r="AD61">
        <v>2127.0653042098302</v>
      </c>
      <c r="AE61">
        <v>839.43568093191197</v>
      </c>
      <c r="AF61">
        <v>4172</v>
      </c>
      <c r="AG61">
        <v>72192</v>
      </c>
      <c r="AH61">
        <v>37770.401854639902</v>
      </c>
      <c r="AI61">
        <v>907.26756931958198</v>
      </c>
      <c r="AK61">
        <v>3024.12659999999</v>
      </c>
      <c r="AL61">
        <v>37248</v>
      </c>
      <c r="AM61">
        <v>25549.834045133801</v>
      </c>
      <c r="AN61">
        <v>27453.123767712699</v>
      </c>
      <c r="AP61">
        <v>-2187</v>
      </c>
      <c r="AQ61">
        <v>0</v>
      </c>
      <c r="AR61">
        <v>2599.32905299508</v>
      </c>
      <c r="AS61">
        <v>43575</v>
      </c>
      <c r="AU61">
        <v>5019</v>
      </c>
      <c r="AV61">
        <v>0</v>
      </c>
      <c r="AX61">
        <v>4590</v>
      </c>
      <c r="AY61">
        <v>6894.7540199987698</v>
      </c>
      <c r="AZ61">
        <v>-1409.74647561197</v>
      </c>
      <c r="BA61">
        <v>-8116.3580057506597</v>
      </c>
      <c r="BC61">
        <v>9065</v>
      </c>
      <c r="BE61">
        <f t="shared" si="0"/>
        <v>405981.21839784051</v>
      </c>
      <c r="BF61">
        <f t="shared" si="1"/>
        <v>43339691.059035361</v>
      </c>
    </row>
    <row r="62" spans="1:58" x14ac:dyDescent="0.2">
      <c r="A62" s="1">
        <v>45272</v>
      </c>
      <c r="B62">
        <v>15435</v>
      </c>
      <c r="C62">
        <v>-11333.842624733001</v>
      </c>
      <c r="E62">
        <v>6475</v>
      </c>
      <c r="F62">
        <v>4332.5457738293298</v>
      </c>
      <c r="G62">
        <v>5249.6816814239501</v>
      </c>
      <c r="I62">
        <v>969.51879556618496</v>
      </c>
      <c r="J62">
        <v>13101.905767446</v>
      </c>
      <c r="L62">
        <v>40160.329415837601</v>
      </c>
      <c r="M62">
        <v>2923.1256212476501</v>
      </c>
      <c r="N62">
        <v>-742.72263331086697</v>
      </c>
      <c r="O62">
        <v>13343.9999999997</v>
      </c>
      <c r="P62">
        <v>-5934</v>
      </c>
      <c r="Q62">
        <v>-5008.4707330493302</v>
      </c>
      <c r="R62">
        <v>5539.3353222579299</v>
      </c>
      <c r="T62">
        <v>-4830</v>
      </c>
      <c r="U62">
        <v>-1123.99813389053</v>
      </c>
      <c r="V62">
        <v>125</v>
      </c>
      <c r="W62">
        <v>6154.3433229644697</v>
      </c>
      <c r="X62">
        <v>1134</v>
      </c>
      <c r="Y62">
        <v>40.209839912468503</v>
      </c>
      <c r="Z62">
        <v>-1323</v>
      </c>
      <c r="AA62">
        <v>-156.00000000003499</v>
      </c>
      <c r="AC62">
        <v>-5555</v>
      </c>
      <c r="AD62">
        <v>-44.409336657148202</v>
      </c>
      <c r="AE62">
        <v>2779.0125092172302</v>
      </c>
      <c r="AF62">
        <v>-15509.155748359501</v>
      </c>
      <c r="AG62">
        <v>30275.161381694899</v>
      </c>
      <c r="AH62">
        <v>1728</v>
      </c>
      <c r="AI62">
        <v>-1637.9734553569799</v>
      </c>
      <c r="AK62">
        <v>-3466.6398693811798</v>
      </c>
      <c r="AL62">
        <v>20952</v>
      </c>
      <c r="AM62">
        <v>-7936</v>
      </c>
      <c r="AN62">
        <v>-8262</v>
      </c>
      <c r="AP62">
        <v>324</v>
      </c>
      <c r="AQ62">
        <v>-13056</v>
      </c>
      <c r="AR62">
        <v>1353.1159049867299</v>
      </c>
      <c r="AS62">
        <v>-12215</v>
      </c>
      <c r="AU62">
        <v>1673</v>
      </c>
      <c r="AV62">
        <v>0</v>
      </c>
      <c r="AX62">
        <v>6066</v>
      </c>
      <c r="AY62">
        <v>-1869.1277228423201</v>
      </c>
      <c r="AZ62">
        <v>0</v>
      </c>
      <c r="BA62">
        <v>1590.9749999999999</v>
      </c>
      <c r="BC62">
        <v>1047.3516093682199</v>
      </c>
      <c r="BE62">
        <f t="shared" si="0"/>
        <v>82769.271688171473</v>
      </c>
      <c r="BF62">
        <f t="shared" si="1"/>
        <v>43422460.330723532</v>
      </c>
    </row>
    <row r="63" spans="1:58" x14ac:dyDescent="0.2">
      <c r="A63" s="1">
        <v>45273</v>
      </c>
      <c r="B63">
        <v>-11445</v>
      </c>
      <c r="C63">
        <v>2145.85857004938</v>
      </c>
      <c r="E63">
        <v>0</v>
      </c>
      <c r="F63">
        <v>-24</v>
      </c>
      <c r="G63">
        <v>2133.5513685880101</v>
      </c>
      <c r="I63">
        <v>1983.02870160117</v>
      </c>
      <c r="J63">
        <v>3027.3419193047898</v>
      </c>
      <c r="L63">
        <v>-14426.449930496799</v>
      </c>
      <c r="M63">
        <v>-53.278384470302598</v>
      </c>
      <c r="N63">
        <v>72.954863772319896</v>
      </c>
      <c r="O63">
        <v>-333.30514584091299</v>
      </c>
      <c r="P63">
        <v>-2484</v>
      </c>
      <c r="Q63">
        <v>-2550</v>
      </c>
      <c r="R63">
        <v>-12682.4644345624</v>
      </c>
      <c r="T63">
        <v>2660</v>
      </c>
      <c r="U63">
        <v>728.84304489820602</v>
      </c>
      <c r="V63">
        <v>-1375</v>
      </c>
      <c r="W63">
        <v>181.20990312689801</v>
      </c>
      <c r="X63">
        <v>2058</v>
      </c>
      <c r="Y63">
        <v>3057.5611192745801</v>
      </c>
      <c r="Z63">
        <v>6174</v>
      </c>
      <c r="AA63">
        <v>-1033.50000000003</v>
      </c>
      <c r="AC63">
        <v>-1947</v>
      </c>
      <c r="AD63">
        <v>4230.6404755365402</v>
      </c>
      <c r="AE63">
        <v>4162.7319315641798</v>
      </c>
      <c r="AF63">
        <v>5814</v>
      </c>
      <c r="AG63">
        <v>-2400</v>
      </c>
      <c r="AH63">
        <v>-22464</v>
      </c>
      <c r="AI63">
        <v>-313.60119280793202</v>
      </c>
      <c r="AK63">
        <v>-1273.7844</v>
      </c>
      <c r="AL63">
        <v>-9900.5902897212309</v>
      </c>
      <c r="AM63">
        <v>-1426</v>
      </c>
      <c r="AN63">
        <v>1020</v>
      </c>
      <c r="AP63">
        <v>-3321</v>
      </c>
      <c r="AQ63">
        <v>-7599.2474369438696</v>
      </c>
      <c r="AR63">
        <v>3848.2716412791901</v>
      </c>
      <c r="AS63">
        <v>2146.83722709419</v>
      </c>
      <c r="AU63">
        <v>10038</v>
      </c>
      <c r="AV63">
        <v>0</v>
      </c>
      <c r="AX63">
        <v>1448.3143458818599</v>
      </c>
      <c r="AY63">
        <v>-32823.546899999201</v>
      </c>
      <c r="AZ63">
        <v>8775.5967275961193</v>
      </c>
      <c r="BA63">
        <v>5502.85119999997</v>
      </c>
      <c r="BC63">
        <v>7195.0542735614699</v>
      </c>
      <c r="BE63">
        <f t="shared" si="0"/>
        <v>-51471.120801713805</v>
      </c>
      <c r="BF63">
        <f t="shared" si="1"/>
        <v>43370989.209921815</v>
      </c>
    </row>
    <row r="64" spans="1:58" x14ac:dyDescent="0.2">
      <c r="A64" s="1">
        <v>45274</v>
      </c>
      <c r="B64">
        <v>15225</v>
      </c>
      <c r="C64">
        <v>1671.59128841802</v>
      </c>
      <c r="E64">
        <v>4625</v>
      </c>
      <c r="F64">
        <v>-352</v>
      </c>
      <c r="G64">
        <v>-8490.77353150421</v>
      </c>
      <c r="I64">
        <v>-16171.9107072601</v>
      </c>
      <c r="J64">
        <v>1283.11977064964</v>
      </c>
      <c r="L64">
        <v>20544.002383466301</v>
      </c>
      <c r="M64">
        <v>-26530.123086801501</v>
      </c>
      <c r="N64">
        <v>-5235.3208913397502</v>
      </c>
      <c r="O64">
        <v>-4889.3792612902098</v>
      </c>
      <c r="P64">
        <v>-1932</v>
      </c>
      <c r="Q64">
        <v>-2040</v>
      </c>
      <c r="R64">
        <v>5274</v>
      </c>
      <c r="T64">
        <v>1575</v>
      </c>
      <c r="U64">
        <v>631.98252456777197</v>
      </c>
      <c r="V64">
        <v>16875</v>
      </c>
      <c r="W64">
        <v>-6750.3800233289003</v>
      </c>
      <c r="X64">
        <v>-2265</v>
      </c>
      <c r="Y64">
        <v>8529.6336516296105</v>
      </c>
      <c r="Z64">
        <v>4410</v>
      </c>
      <c r="AA64">
        <v>13552.5</v>
      </c>
      <c r="AC64">
        <v>13310</v>
      </c>
      <c r="AD64">
        <v>-15265.758928413999</v>
      </c>
      <c r="AE64">
        <v>-2256.2629292813599</v>
      </c>
      <c r="AF64">
        <v>4284</v>
      </c>
      <c r="AG64">
        <v>-5190</v>
      </c>
      <c r="AH64">
        <v>20304</v>
      </c>
      <c r="AI64">
        <v>-2133.81666576204</v>
      </c>
      <c r="AK64">
        <v>5052.0847999999996</v>
      </c>
      <c r="AL64">
        <v>9360</v>
      </c>
      <c r="AM64">
        <v>6014</v>
      </c>
      <c r="AN64">
        <v>3400</v>
      </c>
      <c r="AP64">
        <v>648</v>
      </c>
      <c r="AQ64">
        <v>-9693.2978509100703</v>
      </c>
      <c r="AR64">
        <v>-1530.8892090735999</v>
      </c>
      <c r="AS64">
        <v>1292</v>
      </c>
      <c r="AU64">
        <v>604.49611556479601</v>
      </c>
      <c r="AV64">
        <v>0</v>
      </c>
      <c r="AX64">
        <v>-1869.53423771908</v>
      </c>
      <c r="AY64">
        <v>32589.378359999198</v>
      </c>
      <c r="AZ64">
        <v>12496.0051199999</v>
      </c>
      <c r="BA64">
        <v>16335.3696</v>
      </c>
      <c r="BC64">
        <v>13045.2228696323</v>
      </c>
      <c r="BE64">
        <f t="shared" si="0"/>
        <v>120334.93916124273</v>
      </c>
      <c r="BF64">
        <f t="shared" si="1"/>
        <v>43491324.149083056</v>
      </c>
    </row>
    <row r="65" spans="1:58" x14ac:dyDescent="0.2">
      <c r="A65" s="1">
        <v>45275</v>
      </c>
      <c r="B65">
        <v>-21210</v>
      </c>
      <c r="C65">
        <v>-610</v>
      </c>
      <c r="E65">
        <v>-16095</v>
      </c>
      <c r="F65">
        <v>1624</v>
      </c>
      <c r="G65">
        <v>-190.00000000006301</v>
      </c>
      <c r="I65">
        <v>603.37186209635797</v>
      </c>
      <c r="J65">
        <v>-5363.5351030403899</v>
      </c>
      <c r="L65">
        <v>-11340</v>
      </c>
      <c r="M65">
        <v>2928.5999274025398</v>
      </c>
      <c r="N65">
        <v>965.64997798254103</v>
      </c>
      <c r="O65">
        <v>3042.3305741301401</v>
      </c>
      <c r="P65">
        <v>-8832</v>
      </c>
      <c r="Q65">
        <v>1530</v>
      </c>
      <c r="R65">
        <v>-16408</v>
      </c>
      <c r="T65">
        <v>4485.2227712022104</v>
      </c>
      <c r="U65">
        <v>618</v>
      </c>
      <c r="V65">
        <v>-29000</v>
      </c>
      <c r="W65">
        <v>-14500</v>
      </c>
      <c r="X65">
        <v>-2211</v>
      </c>
      <c r="Y65">
        <v>-2220.4353293713002</v>
      </c>
      <c r="Z65">
        <v>-7938</v>
      </c>
      <c r="AA65">
        <v>-21781.499999999902</v>
      </c>
      <c r="AC65">
        <v>2222</v>
      </c>
      <c r="AD65">
        <v>17189.603166658599</v>
      </c>
      <c r="AE65">
        <v>-11689.614503712901</v>
      </c>
      <c r="AF65">
        <v>-13923</v>
      </c>
      <c r="AG65">
        <v>-18106.827376871501</v>
      </c>
      <c r="AH65">
        <v>-6912</v>
      </c>
      <c r="AI65">
        <v>-2967</v>
      </c>
      <c r="AK65">
        <v>-5573.3411999999998</v>
      </c>
      <c r="AL65">
        <v>-10530</v>
      </c>
      <c r="AM65">
        <v>-28379.831830264899</v>
      </c>
      <c r="AN65">
        <v>-31692.507227210099</v>
      </c>
      <c r="AP65">
        <v>648</v>
      </c>
      <c r="AQ65">
        <v>18669.683595598399</v>
      </c>
      <c r="AR65">
        <v>-52654.024319664903</v>
      </c>
      <c r="AS65">
        <v>-25738</v>
      </c>
      <c r="AU65">
        <v>-7362.1416134484098</v>
      </c>
      <c r="AV65">
        <v>0</v>
      </c>
      <c r="AX65">
        <v>-3370.70282089591</v>
      </c>
      <c r="AY65">
        <v>0</v>
      </c>
      <c r="AZ65">
        <v>1805.64911999998</v>
      </c>
      <c r="BA65">
        <v>-1853.0730000000699</v>
      </c>
      <c r="BC65">
        <v>-9416.5385755898296</v>
      </c>
      <c r="BE65">
        <f t="shared" si="0"/>
        <v>-331535.96190499951</v>
      </c>
      <c r="BF65">
        <f t="shared" si="1"/>
        <v>43159788.187178053</v>
      </c>
    </row>
    <row r="66" spans="1:58" x14ac:dyDescent="0.2">
      <c r="A66" s="1">
        <v>45278</v>
      </c>
      <c r="B66">
        <v>-8820</v>
      </c>
      <c r="C66">
        <v>-2610</v>
      </c>
      <c r="E66">
        <v>-17760</v>
      </c>
      <c r="F66">
        <v>1836.58237404799</v>
      </c>
      <c r="G66">
        <v>4654.99999999995</v>
      </c>
      <c r="H66">
        <v>0</v>
      </c>
      <c r="I66">
        <v>2772.8116111921699</v>
      </c>
      <c r="J66">
        <v>-10494</v>
      </c>
      <c r="L66">
        <v>-14914.343827259299</v>
      </c>
      <c r="M66">
        <v>10115.6589964629</v>
      </c>
      <c r="N66">
        <v>0</v>
      </c>
      <c r="O66">
        <v>-3183.0466329087699</v>
      </c>
      <c r="P66">
        <v>12834</v>
      </c>
      <c r="Q66">
        <v>-43860</v>
      </c>
      <c r="R66">
        <v>-31644</v>
      </c>
      <c r="T66">
        <v>-37825.237750267603</v>
      </c>
      <c r="U66">
        <v>222.747586042005</v>
      </c>
      <c r="V66">
        <v>-23000</v>
      </c>
      <c r="W66">
        <v>-19256</v>
      </c>
      <c r="X66">
        <v>-2913</v>
      </c>
      <c r="Y66">
        <v>-9245.1255236440302</v>
      </c>
      <c r="Z66">
        <v>-3087</v>
      </c>
      <c r="AA66">
        <v>-18992.999999999902</v>
      </c>
      <c r="AC66">
        <v>-13299</v>
      </c>
      <c r="AD66">
        <v>-30.625215700903301</v>
      </c>
      <c r="AE66">
        <v>4386.0242674845404</v>
      </c>
      <c r="AF66">
        <v>-15300</v>
      </c>
      <c r="AG66">
        <v>-16766.017596932499</v>
      </c>
      <c r="AH66">
        <v>-23760</v>
      </c>
      <c r="AI66">
        <v>-5419.3316920561601</v>
      </c>
      <c r="AK66">
        <v>-6278.7619999999997</v>
      </c>
      <c r="AL66">
        <v>2340</v>
      </c>
      <c r="AM66">
        <v>-4494.7343577020902</v>
      </c>
      <c r="AN66">
        <v>-6588.9653996229199</v>
      </c>
      <c r="AP66">
        <v>-7452</v>
      </c>
      <c r="AQ66">
        <v>12960</v>
      </c>
      <c r="AR66">
        <v>1373.2319782437</v>
      </c>
      <c r="AS66">
        <v>-18440.494069750999</v>
      </c>
      <c r="AU66">
        <v>2349</v>
      </c>
      <c r="AV66">
        <v>0</v>
      </c>
      <c r="AX66">
        <v>5610</v>
      </c>
      <c r="AY66">
        <v>0</v>
      </c>
      <c r="AZ66">
        <v>-5370.1195727087397</v>
      </c>
      <c r="BA66">
        <v>-3149.46</v>
      </c>
      <c r="BB66">
        <v>0</v>
      </c>
      <c r="BC66">
        <v>-17100</v>
      </c>
      <c r="BE66">
        <f t="shared" si="0"/>
        <v>-329599.20682508068</v>
      </c>
      <c r="BF66">
        <f t="shared" si="1"/>
        <v>42830188.980352975</v>
      </c>
    </row>
    <row r="67" spans="1:58" x14ac:dyDescent="0.2">
      <c r="A67" s="1">
        <v>45279</v>
      </c>
      <c r="B67">
        <v>3780</v>
      </c>
      <c r="C67">
        <v>6.3471757733370398</v>
      </c>
      <c r="E67">
        <v>-2003.6138506955699</v>
      </c>
      <c r="F67">
        <v>-54.698624541158601</v>
      </c>
      <c r="G67">
        <v>-10354.9999999999</v>
      </c>
      <c r="H67">
        <v>0</v>
      </c>
      <c r="I67">
        <v>-7592</v>
      </c>
      <c r="J67">
        <v>-1802</v>
      </c>
      <c r="L67">
        <v>7730.3812073300496</v>
      </c>
      <c r="M67">
        <v>-3572</v>
      </c>
      <c r="N67">
        <v>0</v>
      </c>
      <c r="O67">
        <v>13079.144493305999</v>
      </c>
      <c r="P67">
        <v>33504.707982436797</v>
      </c>
      <c r="Q67">
        <v>-18018.050138765</v>
      </c>
      <c r="R67">
        <v>10943.1914772084</v>
      </c>
      <c r="T67">
        <v>-22922.895657427998</v>
      </c>
      <c r="U67">
        <v>-1181.9031806717001</v>
      </c>
      <c r="V67">
        <v>-1775.1800146436799</v>
      </c>
      <c r="W67">
        <v>8611.0403105622208</v>
      </c>
      <c r="X67">
        <v>1887</v>
      </c>
      <c r="Y67">
        <v>335</v>
      </c>
      <c r="Z67">
        <v>-29988</v>
      </c>
      <c r="AA67">
        <v>-2498.7950079695202</v>
      </c>
      <c r="AC67">
        <v>-35915</v>
      </c>
      <c r="AD67">
        <v>0</v>
      </c>
      <c r="AE67">
        <v>-1867.3498809412999</v>
      </c>
      <c r="AF67">
        <v>8933.6015174776694</v>
      </c>
      <c r="AG67">
        <v>-18317</v>
      </c>
      <c r="AH67">
        <v>3787.3535055632501</v>
      </c>
      <c r="AI67">
        <v>-2158.7164644347299</v>
      </c>
      <c r="AK67">
        <v>358.78640000000001</v>
      </c>
      <c r="AL67">
        <v>10530</v>
      </c>
      <c r="AM67">
        <v>4868.6943809272898</v>
      </c>
      <c r="AN67">
        <v>7609.5951125909596</v>
      </c>
      <c r="AP67">
        <v>4045.75989392662</v>
      </c>
      <c r="AQ67">
        <v>5265</v>
      </c>
      <c r="AR67">
        <v>17004.1706537225</v>
      </c>
      <c r="AS67">
        <v>15409.620778652699</v>
      </c>
      <c r="AU67">
        <v>-8613</v>
      </c>
      <c r="AV67">
        <v>0</v>
      </c>
      <c r="AX67">
        <v>-6236.6102219847899</v>
      </c>
      <c r="AY67">
        <v>0</v>
      </c>
      <c r="AZ67">
        <v>10059.4321200001</v>
      </c>
      <c r="BA67">
        <v>-5669.0280000000303</v>
      </c>
      <c r="BB67">
        <v>0</v>
      </c>
      <c r="BC67">
        <v>8835</v>
      </c>
      <c r="BE67">
        <f t="shared" ref="BE67:BE130" si="2">SUM(B67:BD67)</f>
        <v>-3957.0140325974899</v>
      </c>
      <c r="BF67">
        <f t="shared" ref="BF67:BF130" si="3">BF66+BE67</f>
        <v>42826231.966320381</v>
      </c>
    </row>
    <row r="68" spans="1:58" x14ac:dyDescent="0.2">
      <c r="A68" s="1">
        <v>45280</v>
      </c>
      <c r="B68">
        <v>-32550</v>
      </c>
      <c r="C68">
        <v>-106.71237461362099</v>
      </c>
      <c r="E68">
        <v>412.78130145202499</v>
      </c>
      <c r="F68">
        <v>5896.8125497291803</v>
      </c>
      <c r="G68">
        <v>-7219.9999999998799</v>
      </c>
      <c r="H68">
        <v>-225.16778400000001</v>
      </c>
      <c r="I68">
        <v>-4994.3077613445203</v>
      </c>
      <c r="J68">
        <v>-9911</v>
      </c>
      <c r="L68">
        <v>7015.8471044196704</v>
      </c>
      <c r="M68">
        <v>-2675.2000000000498</v>
      </c>
      <c r="N68">
        <v>-29.350280168411398</v>
      </c>
      <c r="O68">
        <v>-9891.3075192848592</v>
      </c>
      <c r="P68">
        <v>-19740</v>
      </c>
      <c r="Q68">
        <v>-4043.6135398404699</v>
      </c>
      <c r="R68">
        <v>-14543.8627250806</v>
      </c>
      <c r="T68">
        <v>15017.4912515672</v>
      </c>
      <c r="U68">
        <v>9200</v>
      </c>
      <c r="V68">
        <v>-12325.2762442941</v>
      </c>
      <c r="W68">
        <v>-4330.4863591223602</v>
      </c>
      <c r="X68">
        <v>-99</v>
      </c>
      <c r="Y68">
        <v>5695</v>
      </c>
      <c r="Z68">
        <v>5139.5111340719004</v>
      </c>
      <c r="AA68">
        <v>-8644.6665728712796</v>
      </c>
      <c r="AC68">
        <v>-244.06400739901301</v>
      </c>
      <c r="AD68">
        <v>816</v>
      </c>
      <c r="AE68">
        <v>-6722.7861234318098</v>
      </c>
      <c r="AF68">
        <v>-11408</v>
      </c>
      <c r="AG68">
        <v>-28941.215807714299</v>
      </c>
      <c r="AH68">
        <v>-19183.6868508556</v>
      </c>
      <c r="AI68">
        <v>1063.9572138040101</v>
      </c>
      <c r="AK68">
        <v>542.49720000000002</v>
      </c>
      <c r="AL68">
        <v>-9976.9821768682195</v>
      </c>
      <c r="AM68">
        <v>-2189.5449188172702</v>
      </c>
      <c r="AN68">
        <v>-2374.4355392019802</v>
      </c>
      <c r="AP68">
        <v>-2528</v>
      </c>
      <c r="AQ68">
        <v>25511.9805462648</v>
      </c>
      <c r="AR68">
        <v>6699</v>
      </c>
      <c r="AS68">
        <v>-8453.0748866889298</v>
      </c>
      <c r="AU68">
        <v>-10701</v>
      </c>
      <c r="AV68">
        <v>0</v>
      </c>
      <c r="AX68">
        <v>-8508</v>
      </c>
      <c r="AY68">
        <v>188510.03443999999</v>
      </c>
      <c r="AZ68">
        <v>-4309.0030799999404</v>
      </c>
      <c r="BA68">
        <v>636.06199999996295</v>
      </c>
      <c r="BB68">
        <v>-147</v>
      </c>
      <c r="BC68">
        <v>-8835</v>
      </c>
      <c r="BE68">
        <f t="shared" si="2"/>
        <v>16305.230189711565</v>
      </c>
      <c r="BF68">
        <f t="shared" si="3"/>
        <v>42842537.196510091</v>
      </c>
    </row>
    <row r="69" spans="1:58" x14ac:dyDescent="0.2">
      <c r="A69" s="1">
        <v>45281</v>
      </c>
      <c r="B69">
        <v>-3582.7029589573299</v>
      </c>
      <c r="C69">
        <v>-1280.5062859679399</v>
      </c>
      <c r="E69">
        <v>-649.27113842698805</v>
      </c>
      <c r="F69">
        <v>-6012.9845601074803</v>
      </c>
      <c r="G69">
        <v>-3141.7859891586199</v>
      </c>
      <c r="H69">
        <v>-740.87881213870901</v>
      </c>
      <c r="I69">
        <v>-9832.3793886583207</v>
      </c>
      <c r="J69">
        <v>-2067</v>
      </c>
      <c r="L69">
        <v>16302</v>
      </c>
      <c r="M69">
        <v>-9484.7999999999392</v>
      </c>
      <c r="N69">
        <v>594.57419999999104</v>
      </c>
      <c r="O69">
        <v>-7956.00000000002</v>
      </c>
      <c r="P69">
        <v>18900</v>
      </c>
      <c r="Q69">
        <v>2113.8830714665801</v>
      </c>
      <c r="R69">
        <v>6337.37326279836</v>
      </c>
      <c r="T69">
        <v>-1380.41599048278</v>
      </c>
      <c r="U69">
        <v>-489.52484208033297</v>
      </c>
      <c r="V69">
        <v>6675</v>
      </c>
      <c r="W69">
        <v>13289.3628120098</v>
      </c>
      <c r="X69">
        <v>-2082</v>
      </c>
      <c r="Y69">
        <v>18883.904191903399</v>
      </c>
      <c r="Z69">
        <v>2253.24499892627</v>
      </c>
      <c r="AA69">
        <v>6023.3472686969899</v>
      </c>
      <c r="AC69">
        <v>47920.086337205299</v>
      </c>
      <c r="AD69">
        <v>-7582.5552230988196</v>
      </c>
      <c r="AE69">
        <v>422.44115064917997</v>
      </c>
      <c r="AF69">
        <v>24124.444957953499</v>
      </c>
      <c r="AG69">
        <v>2764.9973417865799</v>
      </c>
      <c r="AH69">
        <v>15861.586763637601</v>
      </c>
      <c r="AI69">
        <v>-2537.0168803133402</v>
      </c>
      <c r="AK69">
        <v>5930.6531652863196</v>
      </c>
      <c r="AL69">
        <v>23400</v>
      </c>
      <c r="AM69">
        <v>8861.4413187626305</v>
      </c>
      <c r="AN69">
        <v>8260.5683695944899</v>
      </c>
      <c r="AP69">
        <v>2523.81475576607</v>
      </c>
      <c r="AQ69">
        <v>5412</v>
      </c>
      <c r="AR69">
        <v>-28391</v>
      </c>
      <c r="AS69">
        <v>13809.9828379173</v>
      </c>
      <c r="AU69">
        <v>8813.8796406490092</v>
      </c>
      <c r="AV69">
        <v>0</v>
      </c>
      <c r="AX69">
        <v>-3372</v>
      </c>
      <c r="AY69">
        <v>-3286.9806401483002</v>
      </c>
      <c r="AZ69">
        <v>18531.107100000001</v>
      </c>
      <c r="BA69">
        <v>-3138.7</v>
      </c>
      <c r="BB69">
        <v>351.01610823418002</v>
      </c>
      <c r="BC69">
        <v>10545</v>
      </c>
      <c r="BE69">
        <f t="shared" si="2"/>
        <v>191897.2069437046</v>
      </c>
      <c r="BF69">
        <f t="shared" si="3"/>
        <v>43034434.403453797</v>
      </c>
    </row>
    <row r="70" spans="1:58" x14ac:dyDescent="0.2">
      <c r="A70" s="1">
        <v>45282</v>
      </c>
      <c r="B70">
        <v>-4545.9787930131397</v>
      </c>
      <c r="C70">
        <v>-1683</v>
      </c>
      <c r="E70">
        <v>-7918.41320723425</v>
      </c>
      <c r="F70">
        <v>10396</v>
      </c>
      <c r="G70">
        <v>-1088.2130093513899</v>
      </c>
      <c r="H70">
        <v>352.300104614313</v>
      </c>
      <c r="I70">
        <v>284.67437285083099</v>
      </c>
      <c r="J70">
        <v>6678</v>
      </c>
      <c r="L70">
        <v>-2622</v>
      </c>
      <c r="M70">
        <v>941.41689794670003</v>
      </c>
      <c r="N70">
        <v>-216.97343999996701</v>
      </c>
      <c r="O70">
        <v>9827.9999999998108</v>
      </c>
      <c r="P70">
        <v>-9800</v>
      </c>
      <c r="Q70">
        <v>-3628.4163136145698</v>
      </c>
      <c r="R70">
        <v>-3326.22785478582</v>
      </c>
      <c r="T70">
        <v>-13680.442134352101</v>
      </c>
      <c r="U70">
        <v>935.545696123217</v>
      </c>
      <c r="V70">
        <v>-5400</v>
      </c>
      <c r="W70">
        <v>-2772</v>
      </c>
      <c r="X70">
        <v>-3556.9976594745699</v>
      </c>
      <c r="Y70">
        <v>-4086.0494073095301</v>
      </c>
      <c r="Z70">
        <v>6894.4896625602296</v>
      </c>
      <c r="AA70">
        <v>-3878.2765004323301</v>
      </c>
      <c r="AC70">
        <v>-11538</v>
      </c>
      <c r="AD70">
        <v>6794.0105033672398</v>
      </c>
      <c r="AE70">
        <v>-1434.99872378748</v>
      </c>
      <c r="AF70">
        <v>-5029</v>
      </c>
      <c r="AG70">
        <v>3677.1828377696702</v>
      </c>
      <c r="AH70">
        <v>-324</v>
      </c>
      <c r="AI70">
        <v>638.966523646616</v>
      </c>
      <c r="AK70">
        <v>-3005.9861999999998</v>
      </c>
      <c r="AL70">
        <v>21589.412378851299</v>
      </c>
      <c r="AM70">
        <v>-16011</v>
      </c>
      <c r="AN70">
        <v>-17640</v>
      </c>
      <c r="AP70">
        <v>-3157</v>
      </c>
      <c r="AQ70">
        <v>1534.1848577254</v>
      </c>
      <c r="AR70">
        <v>-45122.64321935</v>
      </c>
      <c r="AS70">
        <v>2520</v>
      </c>
      <c r="AU70">
        <v>-7905</v>
      </c>
      <c r="AV70">
        <v>0</v>
      </c>
      <c r="AX70">
        <v>940.62197131250696</v>
      </c>
      <c r="AY70">
        <v>37730.864018555098</v>
      </c>
      <c r="AZ70">
        <v>8877.9070799998608</v>
      </c>
      <c r="BA70">
        <v>2422.4040651043101</v>
      </c>
      <c r="BB70">
        <v>-327.56917730900301</v>
      </c>
      <c r="BC70">
        <v>-5415</v>
      </c>
      <c r="BE70">
        <f t="shared" si="2"/>
        <v>-62077.204669587067</v>
      </c>
      <c r="BF70">
        <f t="shared" si="3"/>
        <v>42972357.19878421</v>
      </c>
    </row>
    <row r="71" spans="1:58" x14ac:dyDescent="0.2">
      <c r="A71" s="1">
        <v>45285</v>
      </c>
      <c r="B71">
        <v>-8765.2434550826692</v>
      </c>
      <c r="C71">
        <v>-1020</v>
      </c>
      <c r="E71">
        <v>-3916.5769552697302</v>
      </c>
      <c r="F71">
        <v>4232</v>
      </c>
      <c r="G71">
        <v>9358.4864079698891</v>
      </c>
      <c r="H71">
        <v>-26.113817432475301</v>
      </c>
      <c r="I71">
        <v>-691.54302361363</v>
      </c>
      <c r="J71">
        <v>9434</v>
      </c>
      <c r="L71">
        <v>9291</v>
      </c>
      <c r="M71">
        <v>439.61613008917499</v>
      </c>
      <c r="N71">
        <v>257.42891999997403</v>
      </c>
      <c r="O71">
        <v>-2964.00000000002</v>
      </c>
      <c r="P71">
        <v>2800</v>
      </c>
      <c r="Q71">
        <v>-367.42858038779502</v>
      </c>
      <c r="R71">
        <v>-1778.02696446754</v>
      </c>
      <c r="T71">
        <v>-4270.9808934569901</v>
      </c>
      <c r="U71">
        <v>9594.2002298534699</v>
      </c>
      <c r="V71">
        <v>3874.9842489593402</v>
      </c>
      <c r="W71">
        <v>5868</v>
      </c>
      <c r="X71">
        <v>-133.655743406639</v>
      </c>
      <c r="Y71">
        <v>10507.013523792701</v>
      </c>
      <c r="Z71">
        <v>11748</v>
      </c>
      <c r="AA71">
        <v>2370.4795591582501</v>
      </c>
      <c r="AC71">
        <v>18669.146062133699</v>
      </c>
      <c r="AD71">
        <v>476</v>
      </c>
      <c r="AE71">
        <v>-1098.46846612633</v>
      </c>
      <c r="AF71">
        <v>-11235</v>
      </c>
      <c r="AG71">
        <v>5733</v>
      </c>
      <c r="AH71">
        <v>0</v>
      </c>
      <c r="AI71">
        <v>-49.358990095010697</v>
      </c>
      <c r="AK71">
        <v>-160.89307500000001</v>
      </c>
      <c r="AL71">
        <v>30829.5523773395</v>
      </c>
      <c r="AM71">
        <v>1224.7839035652801</v>
      </c>
      <c r="AN71">
        <v>626.01318531692903</v>
      </c>
      <c r="AP71">
        <v>-924</v>
      </c>
      <c r="AQ71">
        <v>10782.171814715901</v>
      </c>
      <c r="AR71">
        <v>16249.717895358501</v>
      </c>
      <c r="AS71">
        <v>7952</v>
      </c>
      <c r="AU71">
        <v>4716.0514880172605</v>
      </c>
      <c r="AV71">
        <v>0</v>
      </c>
      <c r="AX71">
        <v>4426.5957622660299</v>
      </c>
      <c r="AY71">
        <v>-12586.2993915359</v>
      </c>
      <c r="AZ71">
        <v>-9090.7352999998493</v>
      </c>
      <c r="BA71">
        <v>291.54060000006598</v>
      </c>
      <c r="BB71">
        <v>1870.32245379193</v>
      </c>
      <c r="BC71">
        <v>-12540</v>
      </c>
      <c r="BE71">
        <f t="shared" si="2"/>
        <v>112003.77990645329</v>
      </c>
      <c r="BF71">
        <f t="shared" si="3"/>
        <v>43084360.978690661</v>
      </c>
    </row>
    <row r="72" spans="1:58" x14ac:dyDescent="0.2">
      <c r="A72" s="1">
        <v>45286</v>
      </c>
      <c r="B72">
        <v>2733.3546460666798</v>
      </c>
      <c r="C72">
        <v>-595</v>
      </c>
      <c r="E72">
        <v>4293.28108107565</v>
      </c>
      <c r="F72">
        <v>1417.4463192226001</v>
      </c>
      <c r="G72">
        <v>1121</v>
      </c>
      <c r="H72">
        <v>485.18426060153399</v>
      </c>
      <c r="I72">
        <v>1209</v>
      </c>
      <c r="J72">
        <v>5512</v>
      </c>
      <c r="L72">
        <v>964.69083893030495</v>
      </c>
      <c r="M72">
        <v>-3759.5493494725001</v>
      </c>
      <c r="N72">
        <v>257.42892000001598</v>
      </c>
      <c r="O72">
        <v>-2807.9999999995498</v>
      </c>
      <c r="P72">
        <v>-2100</v>
      </c>
      <c r="Q72">
        <v>3481.7438476383199</v>
      </c>
      <c r="R72">
        <v>-357.32975658365399</v>
      </c>
      <c r="T72">
        <v>-6864.2386593002802</v>
      </c>
      <c r="U72">
        <v>1580.40190061212</v>
      </c>
      <c r="V72">
        <v>-2150</v>
      </c>
      <c r="W72">
        <v>1512</v>
      </c>
      <c r="X72">
        <v>167.51798441023001</v>
      </c>
      <c r="Y72">
        <v>637.19652365608499</v>
      </c>
      <c r="Z72">
        <v>13528</v>
      </c>
      <c r="AA72">
        <v>-2210.00000000003</v>
      </c>
      <c r="AC72">
        <v>1624</v>
      </c>
      <c r="AD72">
        <v>-7.5504495258499702</v>
      </c>
      <c r="AE72">
        <v>74.704578623771198</v>
      </c>
      <c r="AF72">
        <v>5440.8138245110904</v>
      </c>
      <c r="AG72">
        <v>-3807</v>
      </c>
      <c r="AH72">
        <v>972</v>
      </c>
      <c r="AI72">
        <v>86.677336926932099</v>
      </c>
      <c r="AK72">
        <v>0</v>
      </c>
      <c r="AL72">
        <v>610.68029854969097</v>
      </c>
      <c r="AM72">
        <v>-4958.67304469194</v>
      </c>
      <c r="AN72">
        <v>-2404.4664406125598</v>
      </c>
      <c r="AP72">
        <v>11319</v>
      </c>
      <c r="AQ72">
        <v>18506.9661089814</v>
      </c>
      <c r="AR72">
        <v>3195.4105593198401</v>
      </c>
      <c r="AS72">
        <v>1596</v>
      </c>
      <c r="AU72">
        <v>-484</v>
      </c>
      <c r="AV72">
        <v>-61168.529892865001</v>
      </c>
      <c r="AX72">
        <v>-2872</v>
      </c>
      <c r="AY72">
        <v>0</v>
      </c>
      <c r="AZ72">
        <v>-3288.1383000000601</v>
      </c>
      <c r="BA72">
        <v>-3673.41155999997</v>
      </c>
      <c r="BB72">
        <v>146.91000140837099</v>
      </c>
      <c r="BC72">
        <v>7323.7088428669404</v>
      </c>
      <c r="BE72">
        <f t="shared" si="2"/>
        <v>-13710.769579649819</v>
      </c>
      <c r="BF72">
        <f t="shared" si="3"/>
        <v>43070650.209111013</v>
      </c>
    </row>
    <row r="73" spans="1:58" x14ac:dyDescent="0.2">
      <c r="A73" s="1">
        <v>45287</v>
      </c>
      <c r="B73">
        <v>-1733.3096765467501</v>
      </c>
      <c r="C73">
        <v>-189.49431765354299</v>
      </c>
      <c r="E73">
        <v>9937.1485122543509</v>
      </c>
      <c r="F73">
        <v>2433.95013783988</v>
      </c>
      <c r="G73">
        <v>-3956.3443719649299</v>
      </c>
      <c r="H73">
        <v>270.756954372309</v>
      </c>
      <c r="I73">
        <v>2106</v>
      </c>
      <c r="J73">
        <v>-6217.3755924754296</v>
      </c>
      <c r="L73">
        <v>6302.2811068648298</v>
      </c>
      <c r="M73">
        <v>-5487.7849649413802</v>
      </c>
      <c r="N73">
        <v>1644.77955348568</v>
      </c>
      <c r="O73">
        <v>-10913.114220998201</v>
      </c>
      <c r="P73">
        <v>140</v>
      </c>
      <c r="Q73">
        <v>-2160</v>
      </c>
      <c r="R73">
        <v>7076.4269771488998</v>
      </c>
      <c r="T73">
        <v>12570.9801838978</v>
      </c>
      <c r="U73">
        <v>3696.7200876674501</v>
      </c>
      <c r="V73">
        <v>250</v>
      </c>
      <c r="W73">
        <v>1602</v>
      </c>
      <c r="X73">
        <v>-1118.1472844897901</v>
      </c>
      <c r="Y73">
        <v>7767.1648184640699</v>
      </c>
      <c r="Z73">
        <v>6750.5790258192601</v>
      </c>
      <c r="AA73">
        <v>474.550969318667</v>
      </c>
      <c r="AC73">
        <v>19976</v>
      </c>
      <c r="AD73">
        <v>0</v>
      </c>
      <c r="AE73">
        <v>-2328.3585295448202</v>
      </c>
      <c r="AF73">
        <v>5406</v>
      </c>
      <c r="AG73">
        <v>-891</v>
      </c>
      <c r="AH73">
        <v>-6804</v>
      </c>
      <c r="AI73">
        <v>498.66049166472999</v>
      </c>
      <c r="AK73">
        <v>965.67449999999997</v>
      </c>
      <c r="AL73">
        <v>-22956.949631513198</v>
      </c>
      <c r="AM73">
        <v>3107.2204719389301</v>
      </c>
      <c r="AN73">
        <v>3303.1148544335902</v>
      </c>
      <c r="AP73">
        <v>4928</v>
      </c>
      <c r="AQ73">
        <v>12145.008527931501</v>
      </c>
      <c r="AR73">
        <v>11979</v>
      </c>
      <c r="AS73">
        <v>10136</v>
      </c>
      <c r="AU73">
        <v>726</v>
      </c>
      <c r="AV73">
        <v>-4853.8225018253197</v>
      </c>
      <c r="AX73">
        <v>-2688</v>
      </c>
      <c r="AY73">
        <v>0</v>
      </c>
      <c r="AZ73">
        <v>24959.317319999998</v>
      </c>
      <c r="BA73">
        <v>84.338445982975898</v>
      </c>
      <c r="BB73">
        <v>580.78477337888899</v>
      </c>
      <c r="BC73">
        <v>-18278</v>
      </c>
      <c r="BE73">
        <f t="shared" si="2"/>
        <v>71242.756620510481</v>
      </c>
      <c r="BF73">
        <f t="shared" si="3"/>
        <v>43141892.965731524</v>
      </c>
    </row>
    <row r="74" spans="1:58" x14ac:dyDescent="0.2">
      <c r="A74" s="1">
        <v>45288</v>
      </c>
      <c r="B74">
        <v>4272.5345637567698</v>
      </c>
      <c r="C74">
        <v>83.793642455764896</v>
      </c>
      <c r="E74">
        <v>-448</v>
      </c>
      <c r="F74">
        <v>-5072.9175850599004</v>
      </c>
      <c r="G74">
        <v>8245.99999999994</v>
      </c>
      <c r="H74">
        <v>2750.8596083232101</v>
      </c>
      <c r="I74">
        <v>-2629.2367410227298</v>
      </c>
      <c r="J74">
        <v>-4332</v>
      </c>
      <c r="L74">
        <v>-1544.5205614151701</v>
      </c>
      <c r="M74">
        <v>4208.1192890881102</v>
      </c>
      <c r="N74">
        <v>1687.40696000005</v>
      </c>
      <c r="O74">
        <v>35912.984023213801</v>
      </c>
      <c r="P74">
        <v>3920</v>
      </c>
      <c r="Q74">
        <v>-1329.0655386600499</v>
      </c>
      <c r="R74">
        <v>272</v>
      </c>
      <c r="T74">
        <v>-10965</v>
      </c>
      <c r="U74">
        <v>-673.28278934287198</v>
      </c>
      <c r="V74">
        <v>950</v>
      </c>
      <c r="W74">
        <v>2250</v>
      </c>
      <c r="X74">
        <v>991.08935724160403</v>
      </c>
      <c r="Y74">
        <v>-3564.7749250503398</v>
      </c>
      <c r="Z74">
        <v>22239.551927726101</v>
      </c>
      <c r="AA74">
        <v>692.99999999998295</v>
      </c>
      <c r="AC74">
        <v>0</v>
      </c>
      <c r="AD74">
        <v>-510</v>
      </c>
      <c r="AE74">
        <v>-630</v>
      </c>
      <c r="AF74">
        <v>-8670</v>
      </c>
      <c r="AG74">
        <v>-9442.0009682759992</v>
      </c>
      <c r="AH74">
        <v>2268</v>
      </c>
      <c r="AI74">
        <v>-135</v>
      </c>
      <c r="AK74">
        <v>-3209.7415000000001</v>
      </c>
      <c r="AL74">
        <v>29516</v>
      </c>
      <c r="AM74">
        <v>-2054.4986839909602</v>
      </c>
      <c r="AN74">
        <v>-3091.4169792620801</v>
      </c>
      <c r="AP74">
        <v>-18.483541239727298</v>
      </c>
      <c r="AQ74">
        <v>-10724.115038551499</v>
      </c>
      <c r="AR74">
        <v>-4257</v>
      </c>
      <c r="AS74">
        <v>10976</v>
      </c>
      <c r="AU74">
        <v>1210</v>
      </c>
      <c r="AV74">
        <v>-19.151534930418102</v>
      </c>
      <c r="AX74">
        <v>8117.6721942887898</v>
      </c>
      <c r="AY74">
        <v>0</v>
      </c>
      <c r="AZ74">
        <v>17363.856599999999</v>
      </c>
      <c r="BA74">
        <v>10483.4657180263</v>
      </c>
      <c r="BB74">
        <v>-1113.8845279341899</v>
      </c>
      <c r="BC74">
        <v>4526.7841182315897</v>
      </c>
      <c r="BE74">
        <f t="shared" si="2"/>
        <v>98505.027087616079</v>
      </c>
      <c r="BF74">
        <f t="shared" si="3"/>
        <v>43240397.992819138</v>
      </c>
    </row>
    <row r="75" spans="1:58" x14ac:dyDescent="0.2">
      <c r="A75" s="1">
        <v>45289</v>
      </c>
      <c r="B75">
        <v>4453</v>
      </c>
      <c r="C75">
        <v>-205.20281804631199</v>
      </c>
      <c r="E75">
        <v>-1120</v>
      </c>
      <c r="F75">
        <v>793</v>
      </c>
      <c r="G75">
        <v>1277.5735830329299</v>
      </c>
      <c r="H75">
        <v>1057.40869071161</v>
      </c>
      <c r="I75">
        <v>-1750</v>
      </c>
      <c r="J75">
        <v>7866</v>
      </c>
      <c r="L75">
        <v>1491.76940516132</v>
      </c>
      <c r="M75">
        <v>-494.10000000002901</v>
      </c>
      <c r="N75">
        <v>-1440.94502179968</v>
      </c>
      <c r="O75">
        <v>6450.00000000009</v>
      </c>
      <c r="P75">
        <v>7140</v>
      </c>
      <c r="Q75">
        <v>751.99153665237804</v>
      </c>
      <c r="R75">
        <v>2312</v>
      </c>
      <c r="T75">
        <v>22851.832396404399</v>
      </c>
      <c r="U75">
        <v>-374.424819617536</v>
      </c>
      <c r="V75">
        <v>-1950</v>
      </c>
      <c r="W75">
        <v>1890</v>
      </c>
      <c r="X75">
        <v>1139.2489778965601</v>
      </c>
      <c r="Y75">
        <v>2754</v>
      </c>
      <c r="Z75">
        <v>2842.0324932411399</v>
      </c>
      <c r="AA75">
        <v>-1385.99999999996</v>
      </c>
      <c r="AC75">
        <v>-12496</v>
      </c>
      <c r="AD75">
        <v>945</v>
      </c>
      <c r="AE75">
        <v>-1190</v>
      </c>
      <c r="AF75">
        <v>-10225.740877751599</v>
      </c>
      <c r="AG75">
        <v>14384</v>
      </c>
      <c r="AH75">
        <v>5832</v>
      </c>
      <c r="AI75">
        <v>-117</v>
      </c>
      <c r="AK75">
        <v>948.00673641631795</v>
      </c>
      <c r="AL75">
        <v>628</v>
      </c>
      <c r="AM75">
        <v>2669.1521594748701</v>
      </c>
      <c r="AN75">
        <v>2951.2108336512501</v>
      </c>
      <c r="AP75">
        <v>4367.6338957640701</v>
      </c>
      <c r="AQ75">
        <v>6048</v>
      </c>
      <c r="AR75">
        <v>-6039</v>
      </c>
      <c r="AS75">
        <v>-2206.2063444047099</v>
      </c>
      <c r="AU75">
        <v>242</v>
      </c>
      <c r="AV75">
        <v>-18.970420367571698</v>
      </c>
      <c r="AX75">
        <v>-2184</v>
      </c>
      <c r="AY75">
        <v>0</v>
      </c>
      <c r="AZ75">
        <v>-5619.2099400000197</v>
      </c>
      <c r="BA75">
        <v>-2295.0387599999499</v>
      </c>
      <c r="BB75">
        <v>-1043.3245264570701</v>
      </c>
      <c r="BC75">
        <v>481.43963751338299</v>
      </c>
      <c r="BE75">
        <f t="shared" si="2"/>
        <v>52411.136817475868</v>
      </c>
      <c r="BF75">
        <f t="shared" si="3"/>
        <v>43292809.129636616</v>
      </c>
    </row>
    <row r="76" spans="1:58" x14ac:dyDescent="0.2">
      <c r="A76" s="1">
        <v>45292</v>
      </c>
      <c r="B76">
        <v>0</v>
      </c>
      <c r="C76">
        <v>-32.781502431274397</v>
      </c>
      <c r="E76">
        <v>0</v>
      </c>
      <c r="F76">
        <v>0</v>
      </c>
      <c r="G76">
        <v>-20.953006456622401</v>
      </c>
      <c r="H76">
        <v>-73.224899982342805</v>
      </c>
      <c r="I76">
        <v>0</v>
      </c>
      <c r="J76">
        <v>-24.119620098098</v>
      </c>
      <c r="L76">
        <v>-8.4044530130047992</v>
      </c>
      <c r="M76">
        <v>0</v>
      </c>
      <c r="N76">
        <v>0</v>
      </c>
      <c r="O76">
        <v>-353.42014083863398</v>
      </c>
      <c r="P76">
        <v>0</v>
      </c>
      <c r="Q76">
        <v>-8.9431431973879896</v>
      </c>
      <c r="R76">
        <v>0</v>
      </c>
      <c r="T76">
        <v>0</v>
      </c>
      <c r="U76">
        <v>-13.106475780754799</v>
      </c>
      <c r="V76">
        <v>0</v>
      </c>
      <c r="W76">
        <v>-14.7055932983201</v>
      </c>
      <c r="X76">
        <v>-22.604893147942299</v>
      </c>
      <c r="Y76">
        <v>-4.82107006319755</v>
      </c>
      <c r="Z76">
        <v>-78.363284735611401</v>
      </c>
      <c r="AA76">
        <v>-2.6702445100931298</v>
      </c>
      <c r="AC76">
        <v>0</v>
      </c>
      <c r="AD76">
        <v>-22.0144365102155</v>
      </c>
      <c r="AE76">
        <v>0</v>
      </c>
      <c r="AF76">
        <v>-89.481103465645106</v>
      </c>
      <c r="AG76">
        <v>0</v>
      </c>
      <c r="AH76">
        <v>0</v>
      </c>
      <c r="AI76">
        <v>0</v>
      </c>
      <c r="AK76">
        <v>-14.4694974780666</v>
      </c>
      <c r="AL76">
        <v>0</v>
      </c>
      <c r="AM76">
        <v>-14.324938330521601</v>
      </c>
      <c r="AN76">
        <v>-4.3644259912010197</v>
      </c>
      <c r="AP76">
        <v>-18.246831992140201</v>
      </c>
      <c r="AQ76">
        <v>-8.9435408906389906</v>
      </c>
      <c r="AR76">
        <v>0</v>
      </c>
      <c r="AS76">
        <v>-22.055485077205802</v>
      </c>
      <c r="AU76">
        <v>0</v>
      </c>
      <c r="AV76">
        <v>-18.794349099372901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-11.3845160043699</v>
      </c>
      <c r="BE76">
        <f t="shared" si="2"/>
        <v>-882.19745239266126</v>
      </c>
      <c r="BF76">
        <f t="shared" si="3"/>
        <v>43291926.932184219</v>
      </c>
    </row>
    <row r="77" spans="1:58" x14ac:dyDescent="0.2">
      <c r="A77" s="1">
        <v>45293</v>
      </c>
      <c r="B77">
        <v>0</v>
      </c>
      <c r="C77">
        <v>-13.0242084916864</v>
      </c>
      <c r="E77">
        <v>0</v>
      </c>
      <c r="F77">
        <v>0</v>
      </c>
      <c r="G77">
        <v>0</v>
      </c>
      <c r="H77">
        <v>-52.637997770377403</v>
      </c>
      <c r="I77">
        <v>0</v>
      </c>
      <c r="J77">
        <v>0</v>
      </c>
      <c r="L77">
        <v>0</v>
      </c>
      <c r="M77">
        <v>0</v>
      </c>
      <c r="N77">
        <v>-27.6764234606323</v>
      </c>
      <c r="O77">
        <v>0</v>
      </c>
      <c r="P77">
        <v>0</v>
      </c>
      <c r="Q77">
        <v>0</v>
      </c>
      <c r="R77">
        <v>0</v>
      </c>
      <c r="T77">
        <v>0</v>
      </c>
      <c r="U77">
        <v>-5.5799792035159497</v>
      </c>
      <c r="V77">
        <v>0</v>
      </c>
      <c r="W77">
        <v>0</v>
      </c>
      <c r="X77">
        <v>-22.461530207784701</v>
      </c>
      <c r="Y77">
        <v>0</v>
      </c>
      <c r="Z77">
        <v>0</v>
      </c>
      <c r="AA77">
        <v>-2.6521479623236801</v>
      </c>
      <c r="AC77">
        <v>0</v>
      </c>
      <c r="AD77">
        <v>0</v>
      </c>
      <c r="AE77">
        <v>0</v>
      </c>
      <c r="AF77">
        <v>-3.1743370974985199</v>
      </c>
      <c r="AG77">
        <v>0</v>
      </c>
      <c r="AH77">
        <v>0</v>
      </c>
      <c r="AI77">
        <v>0</v>
      </c>
      <c r="AK77">
        <v>0</v>
      </c>
      <c r="AL77">
        <v>0</v>
      </c>
      <c r="AM77">
        <v>0</v>
      </c>
      <c r="AN77">
        <v>0</v>
      </c>
      <c r="AP77">
        <v>0</v>
      </c>
      <c r="AQ77">
        <v>0</v>
      </c>
      <c r="AR77">
        <v>0</v>
      </c>
      <c r="AS77">
        <v>0</v>
      </c>
      <c r="AU77">
        <v>0</v>
      </c>
      <c r="AV77">
        <v>-18.623091319567401</v>
      </c>
      <c r="AX77">
        <v>0</v>
      </c>
      <c r="AY77">
        <v>0</v>
      </c>
      <c r="AZ77">
        <v>0</v>
      </c>
      <c r="BA77">
        <v>0</v>
      </c>
      <c r="BB77">
        <v>-6.63897025288981</v>
      </c>
      <c r="BC77">
        <v>-4.5229516904914702</v>
      </c>
      <c r="BE77">
        <f t="shared" si="2"/>
        <v>-156.99163745676765</v>
      </c>
      <c r="BF77">
        <f t="shared" si="3"/>
        <v>43291769.940546766</v>
      </c>
    </row>
    <row r="78" spans="1:58" x14ac:dyDescent="0.2">
      <c r="A78" s="1">
        <v>45294</v>
      </c>
      <c r="B78">
        <v>-17995</v>
      </c>
      <c r="C78">
        <v>-16.468928519413701</v>
      </c>
      <c r="E78">
        <v>-4928</v>
      </c>
      <c r="F78">
        <v>5673</v>
      </c>
      <c r="G78">
        <v>-10610.097853428701</v>
      </c>
      <c r="H78">
        <v>-14644.679376976201</v>
      </c>
      <c r="I78">
        <v>3050</v>
      </c>
      <c r="J78">
        <v>-11718</v>
      </c>
      <c r="L78">
        <v>-7922.1678388773898</v>
      </c>
      <c r="M78">
        <v>445.5</v>
      </c>
      <c r="N78">
        <v>-9973.3389599999009</v>
      </c>
      <c r="O78">
        <v>4290.0000000001601</v>
      </c>
      <c r="P78">
        <v>-21140</v>
      </c>
      <c r="Q78">
        <v>-480</v>
      </c>
      <c r="R78">
        <v>-3536</v>
      </c>
      <c r="T78">
        <v>-14399</v>
      </c>
      <c r="U78">
        <v>12930.372142550001</v>
      </c>
      <c r="V78">
        <v>-6200</v>
      </c>
      <c r="W78">
        <v>-9766</v>
      </c>
      <c r="X78">
        <v>12370</v>
      </c>
      <c r="Y78">
        <v>-6806</v>
      </c>
      <c r="Z78">
        <v>-10580</v>
      </c>
      <c r="AA78">
        <v>-4986.6638249592197</v>
      </c>
      <c r="AC78">
        <v>-7896</v>
      </c>
      <c r="AD78">
        <v>-1890</v>
      </c>
      <c r="AE78">
        <v>1470</v>
      </c>
      <c r="AF78">
        <v>1686.8464636426199</v>
      </c>
      <c r="AG78">
        <v>-12624</v>
      </c>
      <c r="AH78">
        <v>-2268</v>
      </c>
      <c r="AI78">
        <v>270</v>
      </c>
      <c r="AK78">
        <v>784.77262499999995</v>
      </c>
      <c r="AL78">
        <v>-1256</v>
      </c>
      <c r="AM78">
        <v>-3870.1882590882201</v>
      </c>
      <c r="AN78">
        <v>-3965.32109830749</v>
      </c>
      <c r="AP78">
        <v>-2186.0037103135901</v>
      </c>
      <c r="AQ78">
        <v>-2645</v>
      </c>
      <c r="AR78">
        <v>-495</v>
      </c>
      <c r="AS78">
        <v>-14400</v>
      </c>
      <c r="AU78">
        <v>-3872</v>
      </c>
      <c r="AV78">
        <v>-18.456431620417298</v>
      </c>
      <c r="AX78">
        <v>-9282</v>
      </c>
      <c r="AY78">
        <v>0</v>
      </c>
      <c r="AZ78">
        <v>-22675.632839999998</v>
      </c>
      <c r="BA78">
        <v>-15205.58102</v>
      </c>
      <c r="BB78">
        <v>981.77803157822996</v>
      </c>
      <c r="BC78">
        <v>-8201.8389352291597</v>
      </c>
      <c r="BE78">
        <f t="shared" si="2"/>
        <v>-224500.16981454872</v>
      </c>
      <c r="BF78">
        <f t="shared" si="3"/>
        <v>43067269.770732217</v>
      </c>
    </row>
    <row r="79" spans="1:58" x14ac:dyDescent="0.2">
      <c r="A79" s="1">
        <v>45295</v>
      </c>
      <c r="B79">
        <v>-379.54365367864</v>
      </c>
      <c r="C79">
        <v>-674.85447842141798</v>
      </c>
      <c r="E79">
        <v>-336</v>
      </c>
      <c r="F79">
        <v>-5606.3823206417801</v>
      </c>
      <c r="G79">
        <v>10711.9999999999</v>
      </c>
      <c r="H79">
        <v>8637.4265850576994</v>
      </c>
      <c r="I79">
        <v>-2310</v>
      </c>
      <c r="J79">
        <v>-15624</v>
      </c>
      <c r="L79">
        <v>3344</v>
      </c>
      <c r="M79">
        <v>2818.8000000000102</v>
      </c>
      <c r="N79">
        <v>761.298023149502</v>
      </c>
      <c r="O79">
        <v>14965.241175790001</v>
      </c>
      <c r="P79">
        <v>-17780</v>
      </c>
      <c r="Q79">
        <v>-3778.0317561112602</v>
      </c>
      <c r="R79">
        <v>-2992</v>
      </c>
      <c r="T79">
        <v>-3497.04778763902</v>
      </c>
      <c r="U79">
        <v>14264.2612368315</v>
      </c>
      <c r="V79">
        <v>1875.98335909464</v>
      </c>
      <c r="W79">
        <v>2242</v>
      </c>
      <c r="X79">
        <v>3622.0329470619599</v>
      </c>
      <c r="Y79">
        <v>-3034</v>
      </c>
      <c r="Z79">
        <v>-26680</v>
      </c>
      <c r="AA79">
        <v>1134.25759576373</v>
      </c>
      <c r="AC79">
        <v>2968</v>
      </c>
      <c r="AD79">
        <v>-972</v>
      </c>
      <c r="AE79">
        <v>1680</v>
      </c>
      <c r="AF79">
        <v>2906.3793452488499</v>
      </c>
      <c r="AG79">
        <v>-930.15839882153296</v>
      </c>
      <c r="AH79">
        <v>-12636</v>
      </c>
      <c r="AI79">
        <v>752.40084622797201</v>
      </c>
      <c r="AK79">
        <v>-1681.6556249999901</v>
      </c>
      <c r="AL79">
        <v>-52752</v>
      </c>
      <c r="AM79">
        <v>1189.4761256069601</v>
      </c>
      <c r="AN79">
        <v>574.82639626551895</v>
      </c>
      <c r="AP79">
        <v>1365</v>
      </c>
      <c r="AQ79">
        <v>4370</v>
      </c>
      <c r="AR79">
        <v>3960</v>
      </c>
      <c r="AS79">
        <v>-1260</v>
      </c>
      <c r="AU79">
        <v>-113.054557165744</v>
      </c>
      <c r="AV79">
        <v>-18.2941678531439</v>
      </c>
      <c r="AX79">
        <v>6265.4208896274204</v>
      </c>
      <c r="AY79">
        <v>0</v>
      </c>
      <c r="AZ79">
        <v>-240.77291110244599</v>
      </c>
      <c r="BA79">
        <v>2984.9259854852799</v>
      </c>
      <c r="BB79">
        <v>-5940</v>
      </c>
      <c r="BC79">
        <v>744.61570306105705</v>
      </c>
      <c r="BE79">
        <f t="shared" si="2"/>
        <v>-65097.449442162972</v>
      </c>
      <c r="BF79">
        <f t="shared" si="3"/>
        <v>43002172.321290053</v>
      </c>
    </row>
    <row r="80" spans="1:58" x14ac:dyDescent="0.2">
      <c r="A80" s="1">
        <v>45296</v>
      </c>
      <c r="B80">
        <v>2041.20934515063</v>
      </c>
      <c r="C80">
        <v>-216</v>
      </c>
      <c r="E80">
        <v>0</v>
      </c>
      <c r="F80">
        <v>-1495</v>
      </c>
      <c r="G80">
        <v>2590.1937158753099</v>
      </c>
      <c r="H80">
        <v>678.69459529815697</v>
      </c>
      <c r="I80">
        <v>-4696.6651498498004</v>
      </c>
      <c r="J80">
        <v>6185.4186734245995</v>
      </c>
      <c r="L80">
        <v>-7068</v>
      </c>
      <c r="M80">
        <v>1101.5999999999499</v>
      </c>
      <c r="N80">
        <v>3067.3398600000201</v>
      </c>
      <c r="O80">
        <v>10241.8522181769</v>
      </c>
      <c r="P80">
        <v>2364.3549513930402</v>
      </c>
      <c r="Q80">
        <v>348.32322982642302</v>
      </c>
      <c r="R80">
        <v>1904</v>
      </c>
      <c r="T80">
        <v>1456.33975873292</v>
      </c>
      <c r="U80">
        <v>-5989.1312688785601</v>
      </c>
      <c r="V80">
        <v>500</v>
      </c>
      <c r="W80">
        <v>2451</v>
      </c>
      <c r="X80">
        <v>842.46395916404094</v>
      </c>
      <c r="Y80">
        <v>-8200</v>
      </c>
      <c r="Z80">
        <v>-68.150593502560298</v>
      </c>
      <c r="AA80">
        <v>715.00000000000898</v>
      </c>
      <c r="AC80">
        <v>2600</v>
      </c>
      <c r="AD80">
        <v>342</v>
      </c>
      <c r="AE80">
        <v>-1330</v>
      </c>
      <c r="AF80">
        <v>2392</v>
      </c>
      <c r="AG80">
        <v>176.42448166234601</v>
      </c>
      <c r="AH80">
        <v>4054.7792156252999</v>
      </c>
      <c r="AI80">
        <v>-732.80524811934697</v>
      </c>
      <c r="AK80">
        <v>-1499.9713198863101</v>
      </c>
      <c r="AL80">
        <v>18506.255268162298</v>
      </c>
      <c r="AM80">
        <v>790</v>
      </c>
      <c r="AN80">
        <v>1623.45535240297</v>
      </c>
      <c r="AP80">
        <v>-752.80921431110596</v>
      </c>
      <c r="AQ80">
        <v>-3809.6154275897802</v>
      </c>
      <c r="AR80">
        <v>-891</v>
      </c>
      <c r="AS80">
        <v>450</v>
      </c>
      <c r="AU80">
        <v>291.48671078465799</v>
      </c>
      <c r="AV80">
        <v>-36.272220193405403</v>
      </c>
      <c r="AX80">
        <v>3945</v>
      </c>
      <c r="AY80">
        <v>0</v>
      </c>
      <c r="AZ80">
        <v>-239.22274607876599</v>
      </c>
      <c r="BA80">
        <v>-351.202241866196</v>
      </c>
      <c r="BB80">
        <v>303.68890421266701</v>
      </c>
      <c r="BC80">
        <v>1721.6541653434999</v>
      </c>
      <c r="BE80">
        <f t="shared" si="2"/>
        <v>36308.688974959899</v>
      </c>
      <c r="BF80">
        <f t="shared" si="3"/>
        <v>43038481.010265015</v>
      </c>
    </row>
    <row r="81" spans="1:58" x14ac:dyDescent="0.2">
      <c r="A81" s="1">
        <v>45299</v>
      </c>
      <c r="B81">
        <v>-7392</v>
      </c>
      <c r="C81">
        <v>228</v>
      </c>
      <c r="E81">
        <v>-19936</v>
      </c>
      <c r="F81">
        <v>195</v>
      </c>
      <c r="G81">
        <v>-9053.0634325101291</v>
      </c>
      <c r="H81">
        <v>1992.1981595448301</v>
      </c>
      <c r="I81">
        <v>3441.9906801981101</v>
      </c>
      <c r="J81">
        <v>-8550</v>
      </c>
      <c r="L81">
        <v>-3116</v>
      </c>
      <c r="M81">
        <v>1638.8208072124501</v>
      </c>
      <c r="N81">
        <v>-5031.5136300000704</v>
      </c>
      <c r="O81">
        <v>-606.68523301556002</v>
      </c>
      <c r="P81">
        <v>-15617.2737439058</v>
      </c>
      <c r="Q81">
        <v>231.07915005249501</v>
      </c>
      <c r="R81">
        <v>-2040</v>
      </c>
      <c r="T81">
        <v>-10638.6684886127</v>
      </c>
      <c r="U81">
        <v>1443</v>
      </c>
      <c r="V81">
        <v>-1975</v>
      </c>
      <c r="W81">
        <v>-722</v>
      </c>
      <c r="X81">
        <v>-1046.38849474114</v>
      </c>
      <c r="Y81">
        <v>-13954.1368558831</v>
      </c>
      <c r="Z81">
        <v>9088.8498948967208</v>
      </c>
      <c r="AA81">
        <v>-1885.00000000003</v>
      </c>
      <c r="AC81">
        <v>-5080</v>
      </c>
      <c r="AD81">
        <v>-648</v>
      </c>
      <c r="AE81">
        <v>3920</v>
      </c>
      <c r="AF81">
        <v>-12220</v>
      </c>
      <c r="AG81">
        <v>-1488</v>
      </c>
      <c r="AH81">
        <v>1280</v>
      </c>
      <c r="AI81">
        <v>-1118</v>
      </c>
      <c r="AK81">
        <v>92.255616953259604</v>
      </c>
      <c r="AL81">
        <v>-4739.1670072313</v>
      </c>
      <c r="AM81">
        <v>-3480</v>
      </c>
      <c r="AN81">
        <v>-3350</v>
      </c>
      <c r="AP81">
        <v>-3655.8806813524002</v>
      </c>
      <c r="AQ81">
        <v>-11762.9405307903</v>
      </c>
      <c r="AR81">
        <v>1980</v>
      </c>
      <c r="AS81">
        <v>-20730</v>
      </c>
      <c r="AU81">
        <v>11039.878127260299</v>
      </c>
      <c r="AV81">
        <v>0</v>
      </c>
      <c r="AX81">
        <v>-3965.8707781445901</v>
      </c>
      <c r="AY81">
        <v>-343.07064078316802</v>
      </c>
      <c r="AZ81">
        <v>9736.4299200000605</v>
      </c>
      <c r="BA81">
        <v>-477.25065276428899</v>
      </c>
      <c r="BB81">
        <v>-1407.48689989693</v>
      </c>
      <c r="BC81">
        <v>-639</v>
      </c>
      <c r="BE81">
        <f t="shared" si="2"/>
        <v>-130360.89471351329</v>
      </c>
      <c r="BF81">
        <f t="shared" si="3"/>
        <v>42908120.115551502</v>
      </c>
    </row>
    <row r="82" spans="1:58" x14ac:dyDescent="0.2">
      <c r="A82" s="1">
        <v>45300</v>
      </c>
      <c r="B82">
        <v>729.443026883534</v>
      </c>
      <c r="C82">
        <v>-672</v>
      </c>
      <c r="E82">
        <v>-6991.2752756920299</v>
      </c>
      <c r="F82">
        <v>427.81821242938702</v>
      </c>
      <c r="G82">
        <v>24874.999999999902</v>
      </c>
      <c r="H82">
        <v>-1304.75764253956</v>
      </c>
      <c r="I82">
        <v>-1573</v>
      </c>
      <c r="J82">
        <v>-4881.4999086195103</v>
      </c>
      <c r="L82">
        <v>6384</v>
      </c>
      <c r="M82">
        <v>3839.5365123054098</v>
      </c>
      <c r="N82">
        <v>241.272446574996</v>
      </c>
      <c r="O82">
        <v>64288.3199930353</v>
      </c>
      <c r="P82">
        <v>-5373.1511646913104</v>
      </c>
      <c r="Q82">
        <v>423.32639156829299</v>
      </c>
      <c r="R82">
        <v>-1360</v>
      </c>
      <c r="T82">
        <v>2493.6614923700799</v>
      </c>
      <c r="U82">
        <v>1550.26530966726</v>
      </c>
      <c r="V82">
        <v>-1200</v>
      </c>
      <c r="W82">
        <v>-1406</v>
      </c>
      <c r="X82">
        <v>8222.7136243441291</v>
      </c>
      <c r="Y82">
        <v>-52179.602627385997</v>
      </c>
      <c r="Z82">
        <v>-5434</v>
      </c>
      <c r="AA82">
        <v>-950.22359412676099</v>
      </c>
      <c r="AC82">
        <v>-1816</v>
      </c>
      <c r="AD82">
        <v>468</v>
      </c>
      <c r="AE82">
        <v>-410.54282504066902</v>
      </c>
      <c r="AF82">
        <v>-6112.4954961393496</v>
      </c>
      <c r="AG82">
        <v>-1830</v>
      </c>
      <c r="AH82">
        <v>-14848</v>
      </c>
      <c r="AI82">
        <v>215</v>
      </c>
      <c r="AK82">
        <v>680.887578927699</v>
      </c>
      <c r="AL82">
        <v>5989.3723095128598</v>
      </c>
      <c r="AM82">
        <v>564.142416624117</v>
      </c>
      <c r="AN82">
        <v>447.24871185086198</v>
      </c>
      <c r="AP82">
        <v>-5074</v>
      </c>
      <c r="AQ82">
        <v>10890</v>
      </c>
      <c r="AR82">
        <v>-4851</v>
      </c>
      <c r="AS82">
        <v>25.0187740907703</v>
      </c>
      <c r="AU82">
        <v>-9550</v>
      </c>
      <c r="AV82">
        <v>-35.663817095117103</v>
      </c>
      <c r="AX82">
        <v>8672</v>
      </c>
      <c r="AY82">
        <v>0</v>
      </c>
      <c r="AZ82">
        <v>-12469.462880000099</v>
      </c>
      <c r="BA82">
        <v>346.568270615176</v>
      </c>
      <c r="BB82">
        <v>-6963.3523965721097</v>
      </c>
      <c r="BC82">
        <v>-568</v>
      </c>
      <c r="BE82">
        <f t="shared" si="2"/>
        <v>-6080.4325571027366</v>
      </c>
      <c r="BF82">
        <f t="shared" si="3"/>
        <v>42902039.682994395</v>
      </c>
    </row>
    <row r="83" spans="1:58" x14ac:dyDescent="0.2">
      <c r="A83" s="1">
        <v>45301</v>
      </c>
      <c r="B83">
        <v>3019.0181139083302</v>
      </c>
      <c r="C83">
        <v>108</v>
      </c>
      <c r="E83">
        <v>1016.85842500443</v>
      </c>
      <c r="F83">
        <v>-6930</v>
      </c>
      <c r="G83">
        <v>9749.99999999992</v>
      </c>
      <c r="H83">
        <v>390.094884935322</v>
      </c>
      <c r="I83">
        <v>168.38969301071</v>
      </c>
      <c r="J83">
        <v>-7873.6485843037799</v>
      </c>
      <c r="L83">
        <v>-6080</v>
      </c>
      <c r="M83">
        <v>485.72405984510999</v>
      </c>
      <c r="N83">
        <v>-950.69597999995096</v>
      </c>
      <c r="O83">
        <v>47454.083749625999</v>
      </c>
      <c r="P83">
        <v>-6576.2079714764805</v>
      </c>
      <c r="Q83">
        <v>693.44102437952199</v>
      </c>
      <c r="R83">
        <v>-1525.9876428406899</v>
      </c>
      <c r="T83">
        <v>960</v>
      </c>
      <c r="U83">
        <v>11173.938849419401</v>
      </c>
      <c r="V83">
        <v>-675</v>
      </c>
      <c r="W83">
        <v>1102</v>
      </c>
      <c r="X83">
        <v>-10210.355752507099</v>
      </c>
      <c r="Y83">
        <v>-17883.910985727402</v>
      </c>
      <c r="Z83">
        <v>-2092.6872919319399</v>
      </c>
      <c r="AA83">
        <v>-903.79561049705603</v>
      </c>
      <c r="AC83">
        <v>-16736</v>
      </c>
      <c r="AD83">
        <v>0</v>
      </c>
      <c r="AE83">
        <v>-3938.34023438548</v>
      </c>
      <c r="AF83">
        <v>648.99203513470002</v>
      </c>
      <c r="AG83">
        <v>4026</v>
      </c>
      <c r="AH83">
        <v>-5295.6061900490804</v>
      </c>
      <c r="AI83">
        <v>7310</v>
      </c>
      <c r="AK83">
        <v>92.208366195124498</v>
      </c>
      <c r="AL83">
        <v>6735</v>
      </c>
      <c r="AM83">
        <v>494.22513198568601</v>
      </c>
      <c r="AN83">
        <v>607.54606512362102</v>
      </c>
      <c r="AP83">
        <v>-5900</v>
      </c>
      <c r="AQ83">
        <v>31097</v>
      </c>
      <c r="AR83">
        <v>3663</v>
      </c>
      <c r="AS83">
        <v>-5421.5544210524604</v>
      </c>
      <c r="AU83">
        <v>-33505.101998028098</v>
      </c>
      <c r="AV83">
        <v>-17.685438058041601</v>
      </c>
      <c r="AX83">
        <v>-672</v>
      </c>
      <c r="AY83">
        <v>0</v>
      </c>
      <c r="AZ83">
        <v>2107.64762192852</v>
      </c>
      <c r="BA83">
        <v>-766.29541999998696</v>
      </c>
      <c r="BB83">
        <v>-2010.2450767438399</v>
      </c>
      <c r="BC83">
        <v>341.71280656293601</v>
      </c>
      <c r="BE83">
        <f t="shared" si="2"/>
        <v>-2520.2377705420622</v>
      </c>
      <c r="BF83">
        <f t="shared" si="3"/>
        <v>42899519.445223853</v>
      </c>
    </row>
    <row r="84" spans="1:58" x14ac:dyDescent="0.2">
      <c r="A84" s="1">
        <v>45302</v>
      </c>
      <c r="B84">
        <v>-10470</v>
      </c>
      <c r="C84">
        <v>-276</v>
      </c>
      <c r="E84">
        <v>-1719.1631925387401</v>
      </c>
      <c r="F84">
        <v>-7704.6127115912204</v>
      </c>
      <c r="G84">
        <v>15234.562788110499</v>
      </c>
      <c r="H84">
        <v>-4576.4875605875504</v>
      </c>
      <c r="I84">
        <v>1286.0783726652901</v>
      </c>
      <c r="J84">
        <v>2821.6481178990598</v>
      </c>
      <c r="L84">
        <v>4256</v>
      </c>
      <c r="M84">
        <v>7489.8049067264201</v>
      </c>
      <c r="N84">
        <v>116.95322781339701</v>
      </c>
      <c r="O84">
        <v>6205.1214797070897</v>
      </c>
      <c r="P84">
        <v>818.48487331305898</v>
      </c>
      <c r="Q84">
        <v>-2195.3822765290502</v>
      </c>
      <c r="R84">
        <v>8525.7735297701802</v>
      </c>
      <c r="T84">
        <v>-6010</v>
      </c>
      <c r="U84">
        <v>25662.799693090899</v>
      </c>
      <c r="V84">
        <v>-673.41992744316804</v>
      </c>
      <c r="W84">
        <v>1463</v>
      </c>
      <c r="X84">
        <v>-2432</v>
      </c>
      <c r="Y84">
        <v>-2870.2604018253401</v>
      </c>
      <c r="Z84">
        <v>-15429</v>
      </c>
      <c r="AA84">
        <v>-245.33130954178199</v>
      </c>
      <c r="AC84">
        <v>4399.1200559139197</v>
      </c>
      <c r="AD84">
        <v>0</v>
      </c>
      <c r="AE84">
        <v>4480</v>
      </c>
      <c r="AF84">
        <v>-161.526291735032</v>
      </c>
      <c r="AG84">
        <v>792</v>
      </c>
      <c r="AH84">
        <v>-638.76077279458104</v>
      </c>
      <c r="AI84">
        <v>-4325.1560723749299</v>
      </c>
      <c r="AK84">
        <v>3460.2004383871999</v>
      </c>
      <c r="AL84">
        <v>-40410</v>
      </c>
      <c r="AM84">
        <v>-240</v>
      </c>
      <c r="AN84">
        <v>-310</v>
      </c>
      <c r="AP84">
        <v>-1073.6822006641301</v>
      </c>
      <c r="AQ84">
        <v>-3993</v>
      </c>
      <c r="AR84">
        <v>2772</v>
      </c>
      <c r="AS84">
        <v>-27162.059032997498</v>
      </c>
      <c r="AU84">
        <v>4457.8420314779996</v>
      </c>
      <c r="AV84">
        <v>-39699.295730881298</v>
      </c>
      <c r="AX84">
        <v>9277.6695847317405</v>
      </c>
      <c r="AY84">
        <v>0</v>
      </c>
      <c r="AZ84">
        <v>-3957.9014399999801</v>
      </c>
      <c r="BA84">
        <v>-373.82794821881299</v>
      </c>
      <c r="BB84">
        <v>300.34361220428099</v>
      </c>
      <c r="BC84">
        <v>1358.3813414347301</v>
      </c>
      <c r="BE84">
        <f t="shared" si="2"/>
        <v>-71769.082816477356</v>
      </c>
      <c r="BF84">
        <f t="shared" si="3"/>
        <v>42827750.362407379</v>
      </c>
    </row>
    <row r="85" spans="1:58" x14ac:dyDescent="0.2">
      <c r="A85" s="1">
        <v>45303</v>
      </c>
      <c r="B85">
        <v>-327.25830323506102</v>
      </c>
      <c r="C85">
        <v>-1692</v>
      </c>
      <c r="E85">
        <v>-2058.9716256056499</v>
      </c>
      <c r="F85">
        <v>6137.1956591072603</v>
      </c>
      <c r="G85">
        <v>15138.8820100667</v>
      </c>
      <c r="H85">
        <v>4639.2512999999999</v>
      </c>
      <c r="I85">
        <v>240.36113191141899</v>
      </c>
      <c r="J85">
        <v>-2077.7722261870999</v>
      </c>
      <c r="L85">
        <v>-8968</v>
      </c>
      <c r="M85">
        <v>-15332.7492067769</v>
      </c>
      <c r="N85">
        <v>2091.0415028254702</v>
      </c>
      <c r="O85">
        <v>30222.000000000098</v>
      </c>
      <c r="P85">
        <v>-4872.7758233445602</v>
      </c>
      <c r="Q85">
        <v>-390</v>
      </c>
      <c r="R85">
        <v>-3584</v>
      </c>
      <c r="T85">
        <v>-2874.7576421831</v>
      </c>
      <c r="U85">
        <v>-13416</v>
      </c>
      <c r="V85">
        <v>0</v>
      </c>
      <c r="W85">
        <v>855</v>
      </c>
      <c r="X85">
        <v>-9975</v>
      </c>
      <c r="Y85">
        <v>3841.3695434824299</v>
      </c>
      <c r="Z85">
        <v>-96.681388644472193</v>
      </c>
      <c r="AA85">
        <v>-226.23889815102501</v>
      </c>
      <c r="AC85">
        <v>1897</v>
      </c>
      <c r="AD85">
        <v>-3150</v>
      </c>
      <c r="AE85">
        <v>-3926.1718021981701</v>
      </c>
      <c r="AF85">
        <v>61.1058265553335</v>
      </c>
      <c r="AG85">
        <v>-10158</v>
      </c>
      <c r="AH85">
        <v>-1006.96010359268</v>
      </c>
      <c r="AI85">
        <v>1980</v>
      </c>
      <c r="AK85">
        <v>3161.68163631278</v>
      </c>
      <c r="AL85">
        <v>-4714.3097251687605</v>
      </c>
      <c r="AM85">
        <v>412.53076737367002</v>
      </c>
      <c r="AN85">
        <v>301.64498828370199</v>
      </c>
      <c r="AP85">
        <v>-4605.5806174870204</v>
      </c>
      <c r="AQ85">
        <v>2178</v>
      </c>
      <c r="AR85">
        <v>1462.5104583876901</v>
      </c>
      <c r="AS85">
        <v>-19981.567322996401</v>
      </c>
      <c r="AU85">
        <v>1000.57971526453</v>
      </c>
      <c r="AV85">
        <v>-4139.1529743239898</v>
      </c>
      <c r="AX85">
        <v>330.465219762684</v>
      </c>
      <c r="AY85">
        <v>0</v>
      </c>
      <c r="AZ85">
        <v>-3509.4609641759298</v>
      </c>
      <c r="BA85">
        <v>-639.433059758436</v>
      </c>
      <c r="BB85">
        <v>-969.26083587825894</v>
      </c>
      <c r="BC85">
        <v>-62</v>
      </c>
      <c r="BE85">
        <f t="shared" si="2"/>
        <v>-46803.482760373736</v>
      </c>
      <c r="BF85">
        <f t="shared" si="3"/>
        <v>42780946.879647002</v>
      </c>
    </row>
    <row r="86" spans="1:58" x14ac:dyDescent="0.2">
      <c r="A86" s="1">
        <v>45306</v>
      </c>
      <c r="B86">
        <v>-904.74351250080997</v>
      </c>
      <c r="C86">
        <v>-2437.3434046501202</v>
      </c>
      <c r="E86">
        <v>-476.01304908736199</v>
      </c>
      <c r="F86">
        <v>-3010</v>
      </c>
      <c r="G86">
        <v>14240.1094440283</v>
      </c>
      <c r="H86">
        <v>-4815.3321089999999</v>
      </c>
      <c r="I86">
        <v>3434.3839457915001</v>
      </c>
      <c r="J86">
        <v>-483.72579986408499</v>
      </c>
      <c r="L86">
        <v>4332</v>
      </c>
      <c r="M86">
        <v>12869.4727944475</v>
      </c>
      <c r="N86">
        <v>0</v>
      </c>
      <c r="O86">
        <v>9797.99999999996</v>
      </c>
      <c r="P86">
        <v>6543.1879375935696</v>
      </c>
      <c r="Q86">
        <v>1950</v>
      </c>
      <c r="R86">
        <v>-1344</v>
      </c>
      <c r="T86">
        <v>-78.343448122667198</v>
      </c>
      <c r="U86">
        <v>1290</v>
      </c>
      <c r="V86">
        <v>-23.304372226917</v>
      </c>
      <c r="W86">
        <v>-1900</v>
      </c>
      <c r="X86">
        <v>-6384</v>
      </c>
      <c r="Y86">
        <v>-3489.7767024359</v>
      </c>
      <c r="Z86">
        <v>-11078.5725537662</v>
      </c>
      <c r="AA86">
        <v>-335.43731163205001</v>
      </c>
      <c r="AC86">
        <v>8666</v>
      </c>
      <c r="AD86">
        <v>1153.4870654286899</v>
      </c>
      <c r="AE86">
        <v>3616</v>
      </c>
      <c r="AF86">
        <v>-1320.4538874945799</v>
      </c>
      <c r="AG86">
        <v>470.31560771243102</v>
      </c>
      <c r="AH86">
        <v>541.40956860488404</v>
      </c>
      <c r="AI86">
        <v>1320</v>
      </c>
      <c r="AK86">
        <v>1016.06354130464</v>
      </c>
      <c r="AL86">
        <v>10319.2658640709</v>
      </c>
      <c r="AM86">
        <v>-8</v>
      </c>
      <c r="AN86">
        <v>88.8471490425882</v>
      </c>
      <c r="AP86">
        <v>4715.3529107062404</v>
      </c>
      <c r="AQ86">
        <v>-3146</v>
      </c>
      <c r="AR86">
        <v>2846.7773841884</v>
      </c>
      <c r="AS86">
        <v>8677.0344592803394</v>
      </c>
      <c r="AU86">
        <v>-720</v>
      </c>
      <c r="AV86">
        <v>-6691.0664861690402</v>
      </c>
      <c r="AX86">
        <v>7151.5238984330399</v>
      </c>
      <c r="AY86">
        <v>0</v>
      </c>
      <c r="AZ86">
        <v>-912.40883357975395</v>
      </c>
      <c r="BA86">
        <v>1074.1191899999999</v>
      </c>
      <c r="BB86">
        <v>-195.52378538593899</v>
      </c>
      <c r="BC86">
        <v>992</v>
      </c>
      <c r="BE86">
        <f t="shared" si="2"/>
        <v>57351.305504717566</v>
      </c>
      <c r="BF86">
        <f t="shared" si="3"/>
        <v>42838298.185151719</v>
      </c>
    </row>
    <row r="87" spans="1:58" x14ac:dyDescent="0.2">
      <c r="A87" s="1">
        <v>45307</v>
      </c>
      <c r="B87">
        <v>628.19169959461397</v>
      </c>
      <c r="C87">
        <v>-979.22212175678396</v>
      </c>
      <c r="E87">
        <v>-785.46585653986403</v>
      </c>
      <c r="F87">
        <v>1037.41003060397</v>
      </c>
      <c r="G87">
        <v>1899.2606946370299</v>
      </c>
      <c r="H87">
        <v>-3454.70501046357</v>
      </c>
      <c r="I87">
        <v>4682.4431428089601</v>
      </c>
      <c r="J87">
        <v>902.31970419983702</v>
      </c>
      <c r="L87">
        <v>-2280</v>
      </c>
      <c r="M87">
        <v>2592.8999999999201</v>
      </c>
      <c r="N87">
        <v>-26.928072644220499</v>
      </c>
      <c r="O87">
        <v>-51474.000000000102</v>
      </c>
      <c r="P87">
        <v>3268</v>
      </c>
      <c r="Q87">
        <v>-260</v>
      </c>
      <c r="R87">
        <v>336</v>
      </c>
      <c r="T87">
        <v>1330.8513119837701</v>
      </c>
      <c r="U87">
        <v>-12900</v>
      </c>
      <c r="V87">
        <v>-700</v>
      </c>
      <c r="W87">
        <v>3895</v>
      </c>
      <c r="X87">
        <v>13217.553580973799</v>
      </c>
      <c r="Y87">
        <v>2248.55454141779</v>
      </c>
      <c r="Z87">
        <v>2115.7679811727598</v>
      </c>
      <c r="AA87">
        <v>-612.00000000000705</v>
      </c>
      <c r="AC87">
        <v>5887</v>
      </c>
      <c r="AD87">
        <v>364</v>
      </c>
      <c r="AE87">
        <v>5198</v>
      </c>
      <c r="AF87">
        <v>4966</v>
      </c>
      <c r="AG87">
        <v>800</v>
      </c>
      <c r="AH87">
        <v>1471.4546169686701</v>
      </c>
      <c r="AI87">
        <v>1372.8921892414601</v>
      </c>
      <c r="AK87">
        <v>-1032.78516602537</v>
      </c>
      <c r="AL87">
        <v>11441.5103685739</v>
      </c>
      <c r="AM87">
        <v>-12</v>
      </c>
      <c r="AN87">
        <v>-14</v>
      </c>
      <c r="AP87">
        <v>1200</v>
      </c>
      <c r="AQ87">
        <v>-4598</v>
      </c>
      <c r="AR87">
        <v>-1632.29416337519</v>
      </c>
      <c r="AS87">
        <v>2847.8734285776</v>
      </c>
      <c r="AU87">
        <v>-2779.0884962203099</v>
      </c>
      <c r="AV87">
        <v>234.54421759591199</v>
      </c>
      <c r="AX87">
        <v>-49.177693469162399</v>
      </c>
      <c r="AY87">
        <v>0</v>
      </c>
      <c r="AZ87">
        <v>-5883.75090000003</v>
      </c>
      <c r="BA87">
        <v>982.40466967138502</v>
      </c>
      <c r="BB87">
        <v>179.69617226420101</v>
      </c>
      <c r="BC87">
        <v>-248.91846759480001</v>
      </c>
      <c r="BE87">
        <f t="shared" si="2"/>
        <v>-14622.707597803832</v>
      </c>
      <c r="BF87">
        <f t="shared" si="3"/>
        <v>42823675.477553912</v>
      </c>
    </row>
    <row r="88" spans="1:58" x14ac:dyDescent="0.2">
      <c r="A88" s="1">
        <v>45308</v>
      </c>
      <c r="B88">
        <v>-580</v>
      </c>
      <c r="C88">
        <v>-1652</v>
      </c>
      <c r="E88">
        <v>649.71022019557404</v>
      </c>
      <c r="F88">
        <v>2859.2655786502</v>
      </c>
      <c r="G88">
        <v>-19211.583900003799</v>
      </c>
      <c r="H88">
        <v>-10428.629663969299</v>
      </c>
      <c r="I88">
        <v>-7728.8137592433704</v>
      </c>
      <c r="J88">
        <v>576</v>
      </c>
      <c r="L88">
        <v>-1748</v>
      </c>
      <c r="M88">
        <v>1567.80000000003</v>
      </c>
      <c r="N88">
        <v>-3007.3279600000101</v>
      </c>
      <c r="O88">
        <v>-24160.844790416399</v>
      </c>
      <c r="P88">
        <v>-1672</v>
      </c>
      <c r="Q88">
        <v>2860</v>
      </c>
      <c r="R88">
        <v>-2352</v>
      </c>
      <c r="T88">
        <v>-941.98383210133397</v>
      </c>
      <c r="U88">
        <v>-2710.9089992862801</v>
      </c>
      <c r="V88">
        <v>700</v>
      </c>
      <c r="W88">
        <v>-1947.0723449912</v>
      </c>
      <c r="X88">
        <v>935</v>
      </c>
      <c r="Y88">
        <v>1927.16518307927</v>
      </c>
      <c r="Z88">
        <v>-16582.4904714445</v>
      </c>
      <c r="AA88">
        <v>660</v>
      </c>
      <c r="AC88">
        <v>8015.1447385318197</v>
      </c>
      <c r="AD88">
        <v>234</v>
      </c>
      <c r="AE88">
        <v>-38.973235767548097</v>
      </c>
      <c r="AF88">
        <v>-1166.3617903085201</v>
      </c>
      <c r="AG88">
        <v>930</v>
      </c>
      <c r="AH88">
        <v>-837</v>
      </c>
      <c r="AI88">
        <v>-2874.1032664550999</v>
      </c>
      <c r="AK88">
        <v>-9891.2168764420894</v>
      </c>
      <c r="AL88">
        <v>-4410</v>
      </c>
      <c r="AM88">
        <v>-344</v>
      </c>
      <c r="AN88">
        <v>-384</v>
      </c>
      <c r="AP88">
        <v>-3900</v>
      </c>
      <c r="AQ88">
        <v>3751</v>
      </c>
      <c r="AR88">
        <v>-4758.5224428991396</v>
      </c>
      <c r="AS88">
        <v>-533</v>
      </c>
      <c r="AU88">
        <v>242.80547064927299</v>
      </c>
      <c r="AV88">
        <v>-2498.2192041196899</v>
      </c>
      <c r="AX88">
        <v>-16348.2699565578</v>
      </c>
      <c r="AY88">
        <v>0</v>
      </c>
      <c r="AZ88">
        <v>-2127.4870378205901</v>
      </c>
      <c r="BA88">
        <v>4647.4054330977897</v>
      </c>
      <c r="BB88">
        <v>5</v>
      </c>
      <c r="BC88">
        <v>-10408.316506707301</v>
      </c>
      <c r="BE88">
        <f t="shared" si="2"/>
        <v>-124682.82941433003</v>
      </c>
      <c r="BF88">
        <f t="shared" si="3"/>
        <v>42698992.648139581</v>
      </c>
    </row>
    <row r="89" spans="1:58" x14ac:dyDescent="0.2">
      <c r="A89" s="1">
        <v>45309</v>
      </c>
      <c r="B89">
        <v>179.83910113372599</v>
      </c>
      <c r="C89">
        <v>-1680</v>
      </c>
      <c r="E89">
        <v>-162.89205713022699</v>
      </c>
      <c r="F89">
        <v>-2345</v>
      </c>
      <c r="G89">
        <v>-6574.00000000004</v>
      </c>
      <c r="H89">
        <v>8201.8983420721506</v>
      </c>
      <c r="I89">
        <v>-2079</v>
      </c>
      <c r="J89">
        <v>600</v>
      </c>
      <c r="L89">
        <v>-21280</v>
      </c>
      <c r="M89">
        <v>-2226.2151818094899</v>
      </c>
      <c r="N89">
        <v>-115.934837361673</v>
      </c>
      <c r="O89">
        <v>-953.79863972037106</v>
      </c>
      <c r="P89">
        <v>-3420</v>
      </c>
      <c r="Q89">
        <v>4532.4454547247196</v>
      </c>
      <c r="R89">
        <v>-560</v>
      </c>
      <c r="T89">
        <v>-2328</v>
      </c>
      <c r="U89">
        <v>-15499.542737297999</v>
      </c>
      <c r="V89">
        <v>-750</v>
      </c>
      <c r="W89">
        <v>-3759</v>
      </c>
      <c r="X89">
        <v>-6290</v>
      </c>
      <c r="Y89">
        <v>-1540</v>
      </c>
      <c r="Z89">
        <v>-3094.5904717190201</v>
      </c>
      <c r="AA89">
        <v>-555.99999999998499</v>
      </c>
      <c r="AC89">
        <v>1976</v>
      </c>
      <c r="AD89">
        <v>0</v>
      </c>
      <c r="AE89">
        <v>4487.4586091330202</v>
      </c>
      <c r="AF89">
        <v>-1230.53278499154</v>
      </c>
      <c r="AG89">
        <v>-2345</v>
      </c>
      <c r="AH89">
        <v>-1023</v>
      </c>
      <c r="AI89">
        <v>-4425</v>
      </c>
      <c r="AK89">
        <v>-2629.3710000000001</v>
      </c>
      <c r="AL89">
        <v>-1575</v>
      </c>
      <c r="AM89">
        <v>-91.180428257853293</v>
      </c>
      <c r="AN89">
        <v>21.553338685968999</v>
      </c>
      <c r="AP89">
        <v>2800</v>
      </c>
      <c r="AQ89">
        <v>-2420</v>
      </c>
      <c r="AR89">
        <v>5208</v>
      </c>
      <c r="AS89">
        <v>8645</v>
      </c>
      <c r="AU89">
        <v>-79.718037886261897</v>
      </c>
      <c r="AV89">
        <v>0</v>
      </c>
      <c r="AX89">
        <v>-1485</v>
      </c>
      <c r="AY89">
        <v>0</v>
      </c>
      <c r="AZ89">
        <v>-2080.90097251007</v>
      </c>
      <c r="BA89">
        <v>-3776.1903225537098</v>
      </c>
      <c r="BB89">
        <v>28</v>
      </c>
      <c r="BC89">
        <v>-3168.7279263076398</v>
      </c>
      <c r="BE89">
        <f t="shared" si="2"/>
        <v>-64863.400551796287</v>
      </c>
      <c r="BF89">
        <f t="shared" si="3"/>
        <v>42634129.247587785</v>
      </c>
    </row>
    <row r="90" spans="1:58" x14ac:dyDescent="0.2">
      <c r="A90" s="1">
        <v>45310</v>
      </c>
      <c r="B90">
        <v>231.28255004399699</v>
      </c>
      <c r="C90">
        <v>1215.1678580917301</v>
      </c>
      <c r="E90">
        <v>1301.3682057677099</v>
      </c>
      <c r="F90">
        <v>-5075</v>
      </c>
      <c r="G90">
        <v>10379.9999999997</v>
      </c>
      <c r="H90">
        <v>863.51736900000003</v>
      </c>
      <c r="I90">
        <v>6525</v>
      </c>
      <c r="J90">
        <v>4368</v>
      </c>
      <c r="L90">
        <v>275.741070372298</v>
      </c>
      <c r="M90">
        <v>10053.3221170611</v>
      </c>
      <c r="N90">
        <v>-832.31426837895401</v>
      </c>
      <c r="O90">
        <v>8090.0407892468302</v>
      </c>
      <c r="P90">
        <v>-76</v>
      </c>
      <c r="Q90">
        <v>-2593.7476224093698</v>
      </c>
      <c r="R90">
        <v>2800</v>
      </c>
      <c r="T90">
        <v>-964</v>
      </c>
      <c r="U90">
        <v>8736.0729199361795</v>
      </c>
      <c r="V90">
        <v>-875</v>
      </c>
      <c r="W90">
        <v>2331</v>
      </c>
      <c r="X90">
        <v>-3757</v>
      </c>
      <c r="Y90">
        <v>4422</v>
      </c>
      <c r="Z90">
        <v>-7681.5388631317601</v>
      </c>
      <c r="AA90">
        <v>-987.99999999999204</v>
      </c>
      <c r="AC90">
        <v>11944.577616390299</v>
      </c>
      <c r="AD90">
        <v>0</v>
      </c>
      <c r="AE90">
        <v>-5615.3474325551397</v>
      </c>
      <c r="AF90">
        <v>-1122.3206881450601</v>
      </c>
      <c r="AG90">
        <v>760</v>
      </c>
      <c r="AH90">
        <v>-1880.0398118983101</v>
      </c>
      <c r="AI90">
        <v>600</v>
      </c>
      <c r="AK90">
        <v>5743.01</v>
      </c>
      <c r="AL90">
        <v>12285</v>
      </c>
      <c r="AM90">
        <v>-1164.0033452661901</v>
      </c>
      <c r="AN90">
        <v>-1043.2049920893401</v>
      </c>
      <c r="AP90">
        <v>-1400</v>
      </c>
      <c r="AQ90">
        <v>1573</v>
      </c>
      <c r="AR90">
        <v>2680.6420913434099</v>
      </c>
      <c r="AS90">
        <v>5590</v>
      </c>
      <c r="AU90">
        <v>0.21566220259093399</v>
      </c>
      <c r="AV90">
        <v>-37710</v>
      </c>
      <c r="AX90">
        <v>12064.794284289001</v>
      </c>
      <c r="AY90">
        <v>-79972.6899600006</v>
      </c>
      <c r="AZ90">
        <v>-1396.47733675667</v>
      </c>
      <c r="BA90">
        <v>2697.5565000000001</v>
      </c>
      <c r="BB90">
        <v>-7</v>
      </c>
      <c r="BC90">
        <v>99.875352117887104</v>
      </c>
      <c r="BE90">
        <f t="shared" si="2"/>
        <v>-36522.499934768632</v>
      </c>
      <c r="BF90">
        <f t="shared" si="3"/>
        <v>42597606.747653015</v>
      </c>
    </row>
    <row r="91" spans="1:58" x14ac:dyDescent="0.2">
      <c r="A91" s="1">
        <v>45313</v>
      </c>
      <c r="B91">
        <v>-40.424985671195103</v>
      </c>
      <c r="C91">
        <v>-1386</v>
      </c>
      <c r="E91">
        <v>3125.7797827521299</v>
      </c>
      <c r="F91">
        <v>-209.138687361607</v>
      </c>
      <c r="G91">
        <v>7266.0000000002701</v>
      </c>
      <c r="H91">
        <v>2344.09020755447</v>
      </c>
      <c r="I91">
        <v>2133</v>
      </c>
      <c r="J91">
        <v>-4231.5573647622195</v>
      </c>
      <c r="L91">
        <v>1657.9432332618601</v>
      </c>
      <c r="M91">
        <v>7147.1122079013403</v>
      </c>
      <c r="N91">
        <v>531.5376</v>
      </c>
      <c r="O91">
        <v>7643.99999999996</v>
      </c>
      <c r="P91">
        <v>-7980</v>
      </c>
      <c r="Q91">
        <v>-3000</v>
      </c>
      <c r="R91">
        <v>224</v>
      </c>
      <c r="T91">
        <v>4560</v>
      </c>
      <c r="U91">
        <v>-2042.7238903492801</v>
      </c>
      <c r="V91">
        <v>650</v>
      </c>
      <c r="W91">
        <v>-11571</v>
      </c>
      <c r="X91">
        <v>-7484.9783430451598</v>
      </c>
      <c r="Y91">
        <v>-1078</v>
      </c>
      <c r="Z91">
        <v>1721.6020273023501</v>
      </c>
      <c r="AA91">
        <v>655.99999999998499</v>
      </c>
      <c r="AC91">
        <v>11644.7455941356</v>
      </c>
      <c r="AD91">
        <v>0</v>
      </c>
      <c r="AE91">
        <v>3486</v>
      </c>
      <c r="AF91">
        <v>5548</v>
      </c>
      <c r="AG91">
        <v>-1410</v>
      </c>
      <c r="AH91">
        <v>-4021.7853294445799</v>
      </c>
      <c r="AI91">
        <v>-750</v>
      </c>
      <c r="AK91">
        <v>6644.22</v>
      </c>
      <c r="AL91">
        <v>-315</v>
      </c>
      <c r="AM91">
        <v>434</v>
      </c>
      <c r="AN91">
        <v>0</v>
      </c>
      <c r="AP91">
        <v>-6100</v>
      </c>
      <c r="AQ91">
        <v>-8470</v>
      </c>
      <c r="AR91">
        <v>-4332.9924291347897</v>
      </c>
      <c r="AS91">
        <v>-3874</v>
      </c>
      <c r="AU91">
        <v>-603.14843609216496</v>
      </c>
      <c r="AV91">
        <v>-3576.12761308059</v>
      </c>
      <c r="AX91">
        <v>4172</v>
      </c>
      <c r="AY91">
        <v>0</v>
      </c>
      <c r="AZ91">
        <v>-1829.0731121152201</v>
      </c>
      <c r="BA91">
        <v>-21.6152455618194</v>
      </c>
      <c r="BB91">
        <v>-210</v>
      </c>
      <c r="BC91">
        <v>1823.4108702312001</v>
      </c>
      <c r="BE91">
        <f t="shared" si="2"/>
        <v>-1124.1239134794573</v>
      </c>
      <c r="BF91">
        <f t="shared" si="3"/>
        <v>42596482.623739533</v>
      </c>
    </row>
    <row r="92" spans="1:58" x14ac:dyDescent="0.2">
      <c r="A92" s="1">
        <v>45314</v>
      </c>
      <c r="B92">
        <v>1557.8799931880001</v>
      </c>
      <c r="C92">
        <v>-1512.5898212274001</v>
      </c>
      <c r="E92">
        <v>-2670.5904317054301</v>
      </c>
      <c r="F92">
        <v>-145.39703764325401</v>
      </c>
      <c r="G92">
        <v>-17127</v>
      </c>
      <c r="H92">
        <v>-2481.5900929024301</v>
      </c>
      <c r="I92">
        <v>-4183.5368526734501</v>
      </c>
      <c r="J92">
        <v>-10010</v>
      </c>
      <c r="L92">
        <v>-4000.0001161509299</v>
      </c>
      <c r="M92">
        <v>-3438.0017291733998</v>
      </c>
      <c r="N92">
        <v>903.61391999990303</v>
      </c>
      <c r="O92">
        <v>-2365.99999999998</v>
      </c>
      <c r="P92">
        <v>3656.5634096763401</v>
      </c>
      <c r="Q92">
        <v>-6200</v>
      </c>
      <c r="R92">
        <v>784</v>
      </c>
      <c r="T92">
        <v>-562.95839990518004</v>
      </c>
      <c r="U92">
        <v>-1041.5925347207501</v>
      </c>
      <c r="V92">
        <v>-600</v>
      </c>
      <c r="W92">
        <v>3443.1525957160902</v>
      </c>
      <c r="X92">
        <v>-12440.5680398648</v>
      </c>
      <c r="Y92">
        <v>-3014</v>
      </c>
      <c r="Z92">
        <v>167.233823608205</v>
      </c>
      <c r="AA92">
        <v>-264.00000000001398</v>
      </c>
      <c r="AC92">
        <v>10824.9632389381</v>
      </c>
      <c r="AD92">
        <v>611</v>
      </c>
      <c r="AE92">
        <v>-2158</v>
      </c>
      <c r="AF92">
        <v>-44.281471970795899</v>
      </c>
      <c r="AG92">
        <v>2315.10451782163</v>
      </c>
      <c r="AH92">
        <v>-1308.9713553415399</v>
      </c>
      <c r="AI92">
        <v>748.65105072711196</v>
      </c>
      <c r="AK92">
        <v>-10201.593808613499</v>
      </c>
      <c r="AL92">
        <v>12915</v>
      </c>
      <c r="AM92">
        <v>504</v>
      </c>
      <c r="AN92">
        <v>400</v>
      </c>
      <c r="AP92">
        <v>79.346118738845206</v>
      </c>
      <c r="AQ92">
        <v>-11979</v>
      </c>
      <c r="AR92">
        <v>-1900</v>
      </c>
      <c r="AS92">
        <v>-975</v>
      </c>
      <c r="AU92">
        <v>-1056</v>
      </c>
      <c r="AV92">
        <v>-9133.3279259463106</v>
      </c>
      <c r="AX92">
        <v>-9632</v>
      </c>
      <c r="AY92">
        <v>0</v>
      </c>
      <c r="AZ92">
        <v>-449.49053733897</v>
      </c>
      <c r="BA92">
        <v>2146.3714122046099</v>
      </c>
      <c r="BB92">
        <v>-3.5471609848743002</v>
      </c>
      <c r="BC92">
        <v>2892.67318909495</v>
      </c>
      <c r="BE92">
        <f t="shared" si="2"/>
        <v>-76949.48404644923</v>
      </c>
      <c r="BF92">
        <f t="shared" si="3"/>
        <v>42519533.139693081</v>
      </c>
    </row>
    <row r="93" spans="1:58" x14ac:dyDescent="0.2">
      <c r="A93" s="1">
        <v>45315</v>
      </c>
      <c r="B93">
        <v>-2938.5380496510602</v>
      </c>
      <c r="C93">
        <v>-1277.01713512123</v>
      </c>
      <c r="E93">
        <v>-610.36864152351495</v>
      </c>
      <c r="F93">
        <v>-150</v>
      </c>
      <c r="G93">
        <v>-10726.0000000002</v>
      </c>
      <c r="H93">
        <v>10355.6232</v>
      </c>
      <c r="I93">
        <v>-8290</v>
      </c>
      <c r="J93">
        <v>-1081.7921247970201</v>
      </c>
      <c r="L93">
        <v>6122.0347420892103</v>
      </c>
      <c r="M93">
        <v>-5703.1767756010004</v>
      </c>
      <c r="N93">
        <v>369.03681966347102</v>
      </c>
      <c r="O93">
        <v>29666.0000000002</v>
      </c>
      <c r="P93">
        <v>-994</v>
      </c>
      <c r="Q93">
        <v>-8417.6677206849199</v>
      </c>
      <c r="R93">
        <v>448</v>
      </c>
      <c r="T93">
        <v>-2588.8962667826599</v>
      </c>
      <c r="U93">
        <v>1440</v>
      </c>
      <c r="V93">
        <v>-925</v>
      </c>
      <c r="W93">
        <v>475.96086800733298</v>
      </c>
      <c r="X93">
        <v>-8511.2611916963597</v>
      </c>
      <c r="Y93">
        <v>-7414</v>
      </c>
      <c r="Z93">
        <v>-7384.0237763251398</v>
      </c>
      <c r="AA93">
        <v>-751.99999999996999</v>
      </c>
      <c r="AC93">
        <v>-8799.8468187610797</v>
      </c>
      <c r="AD93">
        <v>-182.74795481907501</v>
      </c>
      <c r="AE93">
        <v>-7304</v>
      </c>
      <c r="AF93">
        <v>-31.453726919127099</v>
      </c>
      <c r="AG93">
        <v>1392</v>
      </c>
      <c r="AH93">
        <v>-295.42467963165302</v>
      </c>
      <c r="AI93">
        <v>-2594.0076236131099</v>
      </c>
      <c r="AK93">
        <v>-4618.5509999999904</v>
      </c>
      <c r="AL93">
        <v>3769.4250848668398</v>
      </c>
      <c r="AM93">
        <v>-1792</v>
      </c>
      <c r="AN93">
        <v>-1115</v>
      </c>
      <c r="AP93">
        <v>4164.3154427657</v>
      </c>
      <c r="AQ93">
        <v>-20106.8961219064</v>
      </c>
      <c r="AR93">
        <v>4370</v>
      </c>
      <c r="AS93">
        <v>2171</v>
      </c>
      <c r="AU93">
        <v>-1600</v>
      </c>
      <c r="AV93">
        <v>0</v>
      </c>
      <c r="AX93">
        <v>-1764</v>
      </c>
      <c r="AY93">
        <v>0</v>
      </c>
      <c r="AZ93">
        <v>608.31420000000003</v>
      </c>
      <c r="BA93">
        <v>-3743.8049615037098</v>
      </c>
      <c r="BB93">
        <v>45.901014027031302</v>
      </c>
      <c r="BC93">
        <v>5719.8487835224596</v>
      </c>
      <c r="BE93">
        <f t="shared" si="2"/>
        <v>-50594.014414394973</v>
      </c>
      <c r="BF93">
        <f t="shared" si="3"/>
        <v>42468939.125278689</v>
      </c>
    </row>
    <row r="94" spans="1:58" x14ac:dyDescent="0.2">
      <c r="A94" s="1">
        <v>45316</v>
      </c>
      <c r="B94">
        <v>288</v>
      </c>
      <c r="C94">
        <v>-281.40220895816702</v>
      </c>
      <c r="E94">
        <v>-2465.0504497234001</v>
      </c>
      <c r="F94">
        <v>-6.0336385537961199</v>
      </c>
      <c r="G94">
        <v>-528.68383814316599</v>
      </c>
      <c r="H94">
        <v>3.5320086837546398</v>
      </c>
      <c r="I94">
        <v>640</v>
      </c>
      <c r="J94">
        <v>445.99196287548102</v>
      </c>
      <c r="L94">
        <v>2160</v>
      </c>
      <c r="M94">
        <v>-4306.5</v>
      </c>
      <c r="N94">
        <v>-386.84755999996798</v>
      </c>
      <c r="O94">
        <v>454.99999999990899</v>
      </c>
      <c r="P94">
        <v>6035</v>
      </c>
      <c r="Q94">
        <v>-1023.00324564922</v>
      </c>
      <c r="R94">
        <v>3227.8680319896198</v>
      </c>
      <c r="T94">
        <v>-174</v>
      </c>
      <c r="U94">
        <v>-2070</v>
      </c>
      <c r="V94">
        <v>-572.37998243579796</v>
      </c>
      <c r="W94">
        <v>176.05617484290201</v>
      </c>
      <c r="X94">
        <v>3906.9876203829799</v>
      </c>
      <c r="Y94">
        <v>-3536.28416229712</v>
      </c>
      <c r="Z94">
        <v>2167.1254768201502</v>
      </c>
      <c r="AA94">
        <v>-487.42165670742003</v>
      </c>
      <c r="AC94">
        <v>9396</v>
      </c>
      <c r="AD94">
        <v>703</v>
      </c>
      <c r="AE94">
        <v>1132.5080215764799</v>
      </c>
      <c r="AF94">
        <v>-328.76826034085002</v>
      </c>
      <c r="AG94">
        <v>-764</v>
      </c>
      <c r="AH94">
        <v>516.750022930299</v>
      </c>
      <c r="AI94">
        <v>1621.10044164394</v>
      </c>
      <c r="AK94">
        <v>-6475.7228639974601</v>
      </c>
      <c r="AL94">
        <v>-6459.1032837375196</v>
      </c>
      <c r="AM94">
        <v>-1090.5949745907401</v>
      </c>
      <c r="AN94">
        <v>-963.07759336793799</v>
      </c>
      <c r="AP94">
        <v>-632</v>
      </c>
      <c r="AQ94">
        <v>-10574.8180221784</v>
      </c>
      <c r="AR94">
        <v>-3990</v>
      </c>
      <c r="AS94">
        <v>-3497</v>
      </c>
      <c r="AU94">
        <v>622.54267682403804</v>
      </c>
      <c r="AV94">
        <v>1836</v>
      </c>
      <c r="AX94">
        <v>-5572</v>
      </c>
      <c r="AY94">
        <v>-11645.102699999499</v>
      </c>
      <c r="AZ94">
        <v>141.78989999999499</v>
      </c>
      <c r="BA94">
        <v>-831.11279999995202</v>
      </c>
      <c r="BB94">
        <v>419.98317114644101</v>
      </c>
      <c r="BC94">
        <v>-4926.47216772097</v>
      </c>
      <c r="BE94">
        <f t="shared" si="2"/>
        <v>-37692.143898685397</v>
      </c>
      <c r="BF94">
        <f t="shared" si="3"/>
        <v>42431246.981380001</v>
      </c>
    </row>
    <row r="95" spans="1:58" x14ac:dyDescent="0.2">
      <c r="A95" s="1">
        <v>45317</v>
      </c>
      <c r="B95">
        <v>-108</v>
      </c>
      <c r="C95">
        <v>418.087735897762</v>
      </c>
      <c r="E95">
        <v>-535</v>
      </c>
      <c r="F95">
        <v>-192</v>
      </c>
      <c r="G95">
        <v>-17226.472177475302</v>
      </c>
      <c r="H95">
        <v>2645.6405272740999</v>
      </c>
      <c r="I95">
        <v>-10390</v>
      </c>
      <c r="J95">
        <v>-679.52671202356396</v>
      </c>
      <c r="L95">
        <v>10080</v>
      </c>
      <c r="M95">
        <v>-13929.299999999799</v>
      </c>
      <c r="N95">
        <v>-203.20543127460701</v>
      </c>
      <c r="O95">
        <v>-4732.0000000001201</v>
      </c>
      <c r="P95">
        <v>3195</v>
      </c>
      <c r="Q95">
        <v>50.078707568542498</v>
      </c>
      <c r="R95">
        <v>2202.5486747250202</v>
      </c>
      <c r="T95">
        <v>-2004</v>
      </c>
      <c r="U95">
        <v>-4590</v>
      </c>
      <c r="V95">
        <v>0</v>
      </c>
      <c r="W95">
        <v>-243</v>
      </c>
      <c r="X95">
        <v>-266</v>
      </c>
      <c r="Y95">
        <v>-243.31879881696599</v>
      </c>
      <c r="Z95">
        <v>44.996603457804703</v>
      </c>
      <c r="AA95">
        <v>277.694522086728</v>
      </c>
      <c r="AC95">
        <v>8165.6856483421097</v>
      </c>
      <c r="AD95">
        <v>-19.654539184050499</v>
      </c>
      <c r="AE95">
        <v>-64.528944986977905</v>
      </c>
      <c r="AF95">
        <v>4203.5275542335803</v>
      </c>
      <c r="AG95">
        <v>1944</v>
      </c>
      <c r="AH95">
        <v>74.070466140477606</v>
      </c>
      <c r="AI95">
        <v>-1364</v>
      </c>
      <c r="AK95">
        <v>-8013.7908402393696</v>
      </c>
      <c r="AL95">
        <v>7995.5955125332503</v>
      </c>
      <c r="AM95">
        <v>87.098297711808698</v>
      </c>
      <c r="AN95">
        <v>-82.068045037393205</v>
      </c>
      <c r="AP95">
        <v>-3871</v>
      </c>
      <c r="AQ95">
        <v>8446.2468791586907</v>
      </c>
      <c r="AR95">
        <v>2470</v>
      </c>
      <c r="AS95">
        <v>2132</v>
      </c>
      <c r="AU95">
        <v>-31.228979653780002</v>
      </c>
      <c r="AV95">
        <v>7614</v>
      </c>
      <c r="AX95">
        <v>-12634.1827765819</v>
      </c>
      <c r="AY95">
        <v>0</v>
      </c>
      <c r="AZ95">
        <v>-581.68158000000301</v>
      </c>
      <c r="BA95">
        <v>4839.70675999986</v>
      </c>
      <c r="BB95">
        <v>1174.84852203386</v>
      </c>
      <c r="BC95">
        <v>1640</v>
      </c>
      <c r="BE95">
        <f t="shared" si="2"/>
        <v>-12303.132414110243</v>
      </c>
      <c r="BF95">
        <f t="shared" si="3"/>
        <v>42418943.848965891</v>
      </c>
    </row>
    <row r="96" spans="1:58" x14ac:dyDescent="0.2">
      <c r="A96" s="1">
        <v>45320</v>
      </c>
      <c r="B96">
        <v>96.671089036480893</v>
      </c>
      <c r="C96">
        <v>1810.26117458473</v>
      </c>
      <c r="E96">
        <v>2675</v>
      </c>
      <c r="F96">
        <v>-1224</v>
      </c>
      <c r="G96">
        <v>28892.199444969199</v>
      </c>
      <c r="H96">
        <v>-1566.7404527272699</v>
      </c>
      <c r="I96">
        <v>16136.5763956356</v>
      </c>
      <c r="J96">
        <v>-1063.0813132296701</v>
      </c>
      <c r="L96">
        <v>1733.1407300461899</v>
      </c>
      <c r="M96">
        <v>14317.4145608668</v>
      </c>
      <c r="N96">
        <v>-4968.13244999995</v>
      </c>
      <c r="O96">
        <v>-10373.9999999999</v>
      </c>
      <c r="P96">
        <v>-21964.809888990701</v>
      </c>
      <c r="Q96">
        <v>-1355.17410250526</v>
      </c>
      <c r="R96">
        <v>-5216.5209200398504</v>
      </c>
      <c r="T96">
        <v>1680</v>
      </c>
      <c r="U96">
        <v>6645.0477924040597</v>
      </c>
      <c r="V96">
        <v>0</v>
      </c>
      <c r="W96">
        <v>-4252.9945871057298</v>
      </c>
      <c r="X96">
        <v>-728.10779773614604</v>
      </c>
      <c r="Y96">
        <v>-2000.10533537537</v>
      </c>
      <c r="Z96">
        <v>74.406743259600702</v>
      </c>
      <c r="AA96">
        <v>0</v>
      </c>
      <c r="AC96">
        <v>-4810</v>
      </c>
      <c r="AD96">
        <v>-22</v>
      </c>
      <c r="AE96">
        <v>1268.30742945308</v>
      </c>
      <c r="AF96">
        <v>-660.40539330086597</v>
      </c>
      <c r="AG96">
        <v>-239.15218878062601</v>
      </c>
      <c r="AH96">
        <v>-730.66477445815894</v>
      </c>
      <c r="AI96">
        <v>985.53975955698797</v>
      </c>
      <c r="AK96">
        <v>11678.9719102741</v>
      </c>
      <c r="AL96">
        <v>-5711.6184133781799</v>
      </c>
      <c r="AM96">
        <v>88.837641437342796</v>
      </c>
      <c r="AN96">
        <v>-127.997717619231</v>
      </c>
      <c r="AP96">
        <v>-1912.61760806302</v>
      </c>
      <c r="AQ96">
        <v>3935.16942254169</v>
      </c>
      <c r="AR96">
        <v>2850</v>
      </c>
      <c r="AS96">
        <v>3679</v>
      </c>
      <c r="AU96">
        <v>-448.820071965968</v>
      </c>
      <c r="AV96">
        <v>-1232.0681895622899</v>
      </c>
      <c r="AX96">
        <v>14357.5345079505</v>
      </c>
      <c r="AY96">
        <v>0</v>
      </c>
      <c r="AZ96">
        <v>514.11973646891397</v>
      </c>
      <c r="BA96">
        <v>412.94370702504801</v>
      </c>
      <c r="BB96">
        <v>277.00766994135603</v>
      </c>
      <c r="BC96">
        <v>-1148</v>
      </c>
      <c r="BE96">
        <f t="shared" si="2"/>
        <v>42351.138510613491</v>
      </c>
      <c r="BF96">
        <f t="shared" si="3"/>
        <v>42461294.987476505</v>
      </c>
    </row>
    <row r="97" spans="1:58" x14ac:dyDescent="0.2">
      <c r="A97" s="1">
        <v>45321</v>
      </c>
      <c r="B97">
        <v>2218.33246302219</v>
      </c>
      <c r="C97">
        <v>-1565.4784521460899</v>
      </c>
      <c r="E97">
        <v>1992.5431612335501</v>
      </c>
      <c r="F97">
        <v>-698.831763107847</v>
      </c>
      <c r="G97">
        <v>-10074</v>
      </c>
      <c r="H97">
        <v>3047.4251194229901</v>
      </c>
      <c r="I97">
        <v>-8624</v>
      </c>
      <c r="J97">
        <v>-22.6010767762121</v>
      </c>
      <c r="L97">
        <v>2828.31871140974</v>
      </c>
      <c r="M97">
        <v>-11544.6</v>
      </c>
      <c r="N97">
        <v>-1163.7066999999499</v>
      </c>
      <c r="O97">
        <v>3003.00000000011</v>
      </c>
      <c r="P97">
        <v>885.79524198348599</v>
      </c>
      <c r="Q97">
        <v>960</v>
      </c>
      <c r="R97">
        <v>4660</v>
      </c>
      <c r="T97">
        <v>5988</v>
      </c>
      <c r="U97">
        <v>10332</v>
      </c>
      <c r="V97">
        <v>0</v>
      </c>
      <c r="W97">
        <v>-803.233284209987</v>
      </c>
      <c r="X97">
        <v>-45.1725477093443</v>
      </c>
      <c r="Y97">
        <v>81.244183682727297</v>
      </c>
      <c r="Z97">
        <v>132.059338890476</v>
      </c>
      <c r="AA97">
        <v>0</v>
      </c>
      <c r="AC97">
        <v>4953</v>
      </c>
      <c r="AD97">
        <v>-327.440032627476</v>
      </c>
      <c r="AE97">
        <v>-9520</v>
      </c>
      <c r="AF97">
        <v>1814.74190277311</v>
      </c>
      <c r="AG97">
        <v>-3907.96175100759</v>
      </c>
      <c r="AH97">
        <v>-2288</v>
      </c>
      <c r="AI97">
        <v>-1254</v>
      </c>
      <c r="AK97">
        <v>-671.36924999999997</v>
      </c>
      <c r="AL97">
        <v>-3518.3469943486498</v>
      </c>
      <c r="AM97">
        <v>0</v>
      </c>
      <c r="AN97">
        <v>-348</v>
      </c>
      <c r="AP97">
        <v>-4089.4951702569601</v>
      </c>
      <c r="AQ97">
        <v>-3172</v>
      </c>
      <c r="AR97">
        <v>1862.5427270853299</v>
      </c>
      <c r="AS97">
        <v>-1932.35012414826</v>
      </c>
      <c r="AU97">
        <v>-246.227234790533</v>
      </c>
      <c r="AV97">
        <v>0</v>
      </c>
      <c r="AX97">
        <v>-5184</v>
      </c>
      <c r="AY97">
        <v>0</v>
      </c>
      <c r="AZ97">
        <v>0</v>
      </c>
      <c r="BA97">
        <v>-3479.8417170841199</v>
      </c>
      <c r="BB97">
        <v>-946.99502060141197</v>
      </c>
      <c r="BC97">
        <v>-5257.07204653603</v>
      </c>
      <c r="BE97">
        <f t="shared" si="2"/>
        <v>-35925.720315846753</v>
      </c>
      <c r="BF97">
        <f t="shared" si="3"/>
        <v>42425369.267160662</v>
      </c>
    </row>
    <row r="98" spans="1:58" x14ac:dyDescent="0.2">
      <c r="A98" s="1">
        <v>45322</v>
      </c>
      <c r="B98">
        <v>810</v>
      </c>
      <c r="C98">
        <v>-1400.23955163759</v>
      </c>
      <c r="E98">
        <v>3269.0981815125601</v>
      </c>
      <c r="F98">
        <v>-27.3925732705084</v>
      </c>
      <c r="G98">
        <v>-13799.9999999999</v>
      </c>
      <c r="H98">
        <v>-2718.3053294866299</v>
      </c>
      <c r="I98">
        <v>-3120.7012459296998</v>
      </c>
      <c r="J98">
        <v>-430.493159538258</v>
      </c>
      <c r="L98">
        <v>-15771.9734191386</v>
      </c>
      <c r="M98">
        <v>-12377.824165079801</v>
      </c>
      <c r="N98">
        <v>-6299.4290929778899</v>
      </c>
      <c r="O98">
        <v>-4004.0000000002001</v>
      </c>
      <c r="P98">
        <v>282.11038244099501</v>
      </c>
      <c r="Q98">
        <v>-2480</v>
      </c>
      <c r="R98">
        <v>-3992.1510390227099</v>
      </c>
      <c r="T98">
        <v>1233.6011295127701</v>
      </c>
      <c r="U98">
        <v>738</v>
      </c>
      <c r="V98">
        <v>0</v>
      </c>
      <c r="W98">
        <v>-99.105363984462898</v>
      </c>
      <c r="X98">
        <v>-652</v>
      </c>
      <c r="Y98">
        <v>219.79877698642301</v>
      </c>
      <c r="Z98">
        <v>1090.14049715497</v>
      </c>
      <c r="AA98">
        <v>-9.7479130834146606</v>
      </c>
      <c r="AC98">
        <v>-6735.54910114418</v>
      </c>
      <c r="AD98">
        <v>950</v>
      </c>
      <c r="AE98">
        <v>5658.95847270391</v>
      </c>
      <c r="AF98">
        <v>2278.7143426244502</v>
      </c>
      <c r="AG98">
        <v>-15414</v>
      </c>
      <c r="AH98">
        <v>616</v>
      </c>
      <c r="AI98">
        <v>1984.8360433983601</v>
      </c>
      <c r="AK98">
        <v>1344.135</v>
      </c>
      <c r="AL98">
        <v>-11040.3487396747</v>
      </c>
      <c r="AM98">
        <v>0</v>
      </c>
      <c r="AN98">
        <v>-288</v>
      </c>
      <c r="AP98">
        <v>-2895.1112976682798</v>
      </c>
      <c r="AQ98">
        <v>-549</v>
      </c>
      <c r="AR98">
        <v>-2381.3488016245301</v>
      </c>
      <c r="AS98">
        <v>-1918</v>
      </c>
      <c r="AU98">
        <v>-406.28518303457003</v>
      </c>
      <c r="AV98">
        <v>-16065</v>
      </c>
      <c r="AX98">
        <v>-3483</v>
      </c>
      <c r="AY98">
        <v>55048.631939999497</v>
      </c>
      <c r="AZ98">
        <v>0</v>
      </c>
      <c r="BA98">
        <v>-12079.2686400001</v>
      </c>
      <c r="BB98">
        <v>3179</v>
      </c>
      <c r="BC98">
        <v>7224</v>
      </c>
      <c r="BE98">
        <f t="shared" si="2"/>
        <v>-54511.249849962085</v>
      </c>
      <c r="BF98">
        <f t="shared" si="3"/>
        <v>42370858.017310701</v>
      </c>
    </row>
    <row r="99" spans="1:58" x14ac:dyDescent="0.2">
      <c r="A99" s="1">
        <v>45323</v>
      </c>
      <c r="B99">
        <v>2460</v>
      </c>
      <c r="C99">
        <v>1680</v>
      </c>
      <c r="E99">
        <v>108.320121602844</v>
      </c>
      <c r="F99">
        <v>1154.0359680183101</v>
      </c>
      <c r="G99">
        <v>-10645.6084439485</v>
      </c>
      <c r="H99">
        <v>-447.16748999999999</v>
      </c>
      <c r="I99">
        <v>-3236.6412368995202</v>
      </c>
      <c r="J99">
        <v>260.27055891833498</v>
      </c>
      <c r="L99">
        <v>729</v>
      </c>
      <c r="M99">
        <v>-2904.80769692076</v>
      </c>
      <c r="N99">
        <v>1911.17517255607</v>
      </c>
      <c r="O99">
        <v>2638.99999999999</v>
      </c>
      <c r="P99">
        <v>3990.5961566731098</v>
      </c>
      <c r="Q99">
        <v>720</v>
      </c>
      <c r="R99">
        <v>488</v>
      </c>
      <c r="T99">
        <v>3797.6884718339402</v>
      </c>
      <c r="U99">
        <v>7357.65109629161</v>
      </c>
      <c r="V99">
        <v>-21.946344005689902</v>
      </c>
      <c r="W99">
        <v>808.85877546309405</v>
      </c>
      <c r="X99">
        <v>-325.08837888303498</v>
      </c>
      <c r="Y99">
        <v>285.866261741296</v>
      </c>
      <c r="Z99">
        <v>525.34135991296603</v>
      </c>
      <c r="AA99">
        <v>224.47549295474201</v>
      </c>
      <c r="AC99">
        <v>-10458</v>
      </c>
      <c r="AD99">
        <v>-3932.1282162641</v>
      </c>
      <c r="AE99">
        <v>-1360</v>
      </c>
      <c r="AF99">
        <v>-1838.2237678232</v>
      </c>
      <c r="AG99">
        <v>2284.3751144008802</v>
      </c>
      <c r="AH99">
        <v>1936</v>
      </c>
      <c r="AI99">
        <v>-1911</v>
      </c>
      <c r="AK99">
        <v>-2901.8827500000002</v>
      </c>
      <c r="AL99">
        <v>-1990</v>
      </c>
      <c r="AM99">
        <v>0</v>
      </c>
      <c r="AN99">
        <v>-135</v>
      </c>
      <c r="AP99">
        <v>1693.2026373387</v>
      </c>
      <c r="AQ99">
        <v>1455.1861065108701</v>
      </c>
      <c r="AR99">
        <v>-13489.2724639519</v>
      </c>
      <c r="AS99">
        <v>-19040</v>
      </c>
      <c r="AU99">
        <v>-81</v>
      </c>
      <c r="AV99">
        <v>-278.21575891142197</v>
      </c>
      <c r="AX99">
        <v>-5455.0864396220804</v>
      </c>
      <c r="AY99">
        <v>0</v>
      </c>
      <c r="AZ99">
        <v>0</v>
      </c>
      <c r="BA99">
        <v>-4363.8264000000599</v>
      </c>
      <c r="BB99">
        <v>-550.13473713807696</v>
      </c>
      <c r="BC99">
        <v>-336</v>
      </c>
      <c r="BE99">
        <f t="shared" si="2"/>
        <v>-49191.986830151589</v>
      </c>
      <c r="BF99">
        <f t="shared" si="3"/>
        <v>42321666.030480549</v>
      </c>
    </row>
    <row r="100" spans="1:58" x14ac:dyDescent="0.2">
      <c r="A100" s="1">
        <v>45324</v>
      </c>
      <c r="B100">
        <v>-973.21719167400101</v>
      </c>
      <c r="C100">
        <v>1504.5467359393199</v>
      </c>
      <c r="E100">
        <v>2832.88739784173</v>
      </c>
      <c r="F100">
        <v>-184.37468587586699</v>
      </c>
      <c r="G100">
        <v>339.40834187668702</v>
      </c>
      <c r="H100">
        <v>448.670838</v>
      </c>
      <c r="I100">
        <v>-820.55799851600204</v>
      </c>
      <c r="J100">
        <v>-1862.71809044831</v>
      </c>
      <c r="L100">
        <v>-5913</v>
      </c>
      <c r="M100">
        <v>1291.8198444468701</v>
      </c>
      <c r="N100">
        <v>2062.3593999999998</v>
      </c>
      <c r="O100">
        <v>-6824.9999999997699</v>
      </c>
      <c r="P100">
        <v>1400</v>
      </c>
      <c r="Q100">
        <v>720</v>
      </c>
      <c r="R100">
        <v>4392</v>
      </c>
      <c r="T100">
        <v>633.88620974833202</v>
      </c>
      <c r="U100">
        <v>1850.35519782393</v>
      </c>
      <c r="V100">
        <v>628.16050037534501</v>
      </c>
      <c r="W100">
        <v>-2516.8220464379801</v>
      </c>
      <c r="X100">
        <v>158.50184226826599</v>
      </c>
      <c r="Y100">
        <v>942.61109759303997</v>
      </c>
      <c r="Z100">
        <v>-2254.0348837617698</v>
      </c>
      <c r="AA100">
        <v>1187.6934071394101</v>
      </c>
      <c r="AC100">
        <v>-924</v>
      </c>
      <c r="AD100">
        <v>1251.64248683905</v>
      </c>
      <c r="AE100">
        <v>-1920</v>
      </c>
      <c r="AF100">
        <v>13916.918255291301</v>
      </c>
      <c r="AG100">
        <v>-519.99822742495098</v>
      </c>
      <c r="AH100">
        <v>-2288</v>
      </c>
      <c r="AI100">
        <v>2203.7397153572701</v>
      </c>
      <c r="AK100">
        <v>-1569.1865</v>
      </c>
      <c r="AL100">
        <v>1990</v>
      </c>
      <c r="AM100">
        <v>-51.649064800828803</v>
      </c>
      <c r="AN100">
        <v>35.315174271239499</v>
      </c>
      <c r="AP100">
        <v>-136</v>
      </c>
      <c r="AQ100">
        <v>-1450</v>
      </c>
      <c r="AR100">
        <v>14910.8282992148</v>
      </c>
      <c r="AS100">
        <v>1032.46513069156</v>
      </c>
      <c r="AU100">
        <v>3186</v>
      </c>
      <c r="AV100">
        <v>-983.66645429990604</v>
      </c>
      <c r="AX100">
        <v>-3814.1730721660601</v>
      </c>
      <c r="AY100">
        <v>-27788.537699999299</v>
      </c>
      <c r="AZ100">
        <v>0</v>
      </c>
      <c r="BA100">
        <v>20387.865070169599</v>
      </c>
      <c r="BB100">
        <v>-2565</v>
      </c>
      <c r="BC100">
        <v>9224.1041413311596</v>
      </c>
      <c r="BE100">
        <f t="shared" si="2"/>
        <v>23171.843170814165</v>
      </c>
      <c r="BF100">
        <f t="shared" si="3"/>
        <v>42344837.873651363</v>
      </c>
    </row>
    <row r="101" spans="1:58" x14ac:dyDescent="0.2">
      <c r="A101" s="1">
        <v>45327</v>
      </c>
      <c r="B101">
        <v>4396</v>
      </c>
      <c r="C101">
        <v>820.04384730590004</v>
      </c>
      <c r="E101">
        <v>17915.408350572401</v>
      </c>
      <c r="F101">
        <v>271.03639362887299</v>
      </c>
      <c r="G101">
        <v>7364.35718517234</v>
      </c>
      <c r="H101">
        <v>-1568.71016793787</v>
      </c>
      <c r="I101">
        <v>5098.4127481834303</v>
      </c>
      <c r="J101">
        <v>1358</v>
      </c>
      <c r="L101">
        <v>10435.157312555501</v>
      </c>
      <c r="M101">
        <v>8710.5843419462599</v>
      </c>
      <c r="N101">
        <v>2665.4804399999598</v>
      </c>
      <c r="O101">
        <v>-1001.00000000009</v>
      </c>
      <c r="P101">
        <v>-2169.5918805298902</v>
      </c>
      <c r="Q101">
        <v>-160</v>
      </c>
      <c r="R101">
        <v>-1797.30843281172</v>
      </c>
      <c r="T101">
        <v>-4493.0609739501397</v>
      </c>
      <c r="U101">
        <v>-7944.0895861577001</v>
      </c>
      <c r="V101">
        <v>-1021.73726527356</v>
      </c>
      <c r="W101">
        <v>-4352</v>
      </c>
      <c r="X101">
        <v>2136.5013984324801</v>
      </c>
      <c r="Y101">
        <v>2545.8926335698002</v>
      </c>
      <c r="Z101">
        <v>1800</v>
      </c>
      <c r="AA101">
        <v>-1576.9150729953601</v>
      </c>
      <c r="AC101">
        <v>-30730</v>
      </c>
      <c r="AD101">
        <v>-6.3595370689963397</v>
      </c>
      <c r="AE101">
        <v>2474.0194587251099</v>
      </c>
      <c r="AF101">
        <v>3935.4453801173099</v>
      </c>
      <c r="AG101">
        <v>1491.74104822501</v>
      </c>
      <c r="AH101">
        <v>-440</v>
      </c>
      <c r="AI101">
        <v>4368</v>
      </c>
      <c r="AK101">
        <v>2493.2215000000001</v>
      </c>
      <c r="AL101">
        <v>-22288</v>
      </c>
      <c r="AM101">
        <v>647.13226273916803</v>
      </c>
      <c r="AN101">
        <v>83.194215695540905</v>
      </c>
      <c r="AP101">
        <v>-340</v>
      </c>
      <c r="AQ101">
        <v>7018</v>
      </c>
      <c r="AR101">
        <v>16348</v>
      </c>
      <c r="AS101">
        <v>4356.2956579434504</v>
      </c>
      <c r="AU101">
        <v>-2523.4941701769699</v>
      </c>
      <c r="AV101">
        <v>0</v>
      </c>
      <c r="AX101">
        <v>2339.9328968672298</v>
      </c>
      <c r="AY101">
        <v>6308.3356356057902</v>
      </c>
      <c r="AZ101">
        <v>-252.32615424087399</v>
      </c>
      <c r="BA101">
        <v>1486.3728000000499</v>
      </c>
      <c r="BB101">
        <v>-950</v>
      </c>
      <c r="BC101">
        <v>7115.9468581260999</v>
      </c>
      <c r="BE101">
        <f t="shared" si="2"/>
        <v>42367.919124268548</v>
      </c>
      <c r="BF101">
        <f t="shared" si="3"/>
        <v>42387205.792775631</v>
      </c>
    </row>
    <row r="102" spans="1:58" x14ac:dyDescent="0.2">
      <c r="A102" s="1">
        <v>45328</v>
      </c>
      <c r="B102">
        <v>-2167.3401856295</v>
      </c>
      <c r="C102">
        <v>-2152.4894458407898</v>
      </c>
      <c r="E102">
        <v>4187.6688177086498</v>
      </c>
      <c r="F102">
        <v>168</v>
      </c>
      <c r="G102">
        <v>-12740.9999999998</v>
      </c>
      <c r="H102">
        <v>8207.1558399999994</v>
      </c>
      <c r="I102">
        <v>-2860</v>
      </c>
      <c r="J102">
        <v>1554</v>
      </c>
      <c r="L102">
        <v>6808</v>
      </c>
      <c r="M102">
        <v>-8095.5999999999704</v>
      </c>
      <c r="N102">
        <v>-2320.39234330009</v>
      </c>
      <c r="O102">
        <v>-15044.294899594301</v>
      </c>
      <c r="P102">
        <v>-638</v>
      </c>
      <c r="Q102">
        <v>-560</v>
      </c>
      <c r="R102">
        <v>-4984.6865661878301</v>
      </c>
      <c r="T102">
        <v>-7970</v>
      </c>
      <c r="U102">
        <v>9225</v>
      </c>
      <c r="V102">
        <v>2925</v>
      </c>
      <c r="W102">
        <v>255</v>
      </c>
      <c r="X102">
        <v>-1906.64729383146</v>
      </c>
      <c r="Y102">
        <v>-1357.7325853684999</v>
      </c>
      <c r="Z102">
        <v>3682.2892416504001</v>
      </c>
      <c r="AA102">
        <v>3425.49999999991</v>
      </c>
      <c r="AC102">
        <v>-5314.4262444881097</v>
      </c>
      <c r="AD102">
        <v>-2392</v>
      </c>
      <c r="AE102">
        <v>867</v>
      </c>
      <c r="AF102">
        <v>18787.984939698599</v>
      </c>
      <c r="AG102">
        <v>0</v>
      </c>
      <c r="AH102">
        <v>-619.69179879889896</v>
      </c>
      <c r="AI102">
        <v>-5813.8359325558604</v>
      </c>
      <c r="AK102">
        <v>-2266.5650000000001</v>
      </c>
      <c r="AL102">
        <v>-15978.760445464701</v>
      </c>
      <c r="AM102">
        <v>110.376765858536</v>
      </c>
      <c r="AN102">
        <v>259.57542524590002</v>
      </c>
      <c r="AP102">
        <v>-724.85588601206803</v>
      </c>
      <c r="AQ102">
        <v>1682</v>
      </c>
      <c r="AR102">
        <v>4596.2281770278396</v>
      </c>
      <c r="AS102">
        <v>-2056</v>
      </c>
      <c r="AU102">
        <v>0</v>
      </c>
      <c r="AV102">
        <v>0</v>
      </c>
      <c r="AX102">
        <v>-1064</v>
      </c>
      <c r="AY102">
        <v>-1256.1771843553599</v>
      </c>
      <c r="AZ102">
        <v>-275.24848000000497</v>
      </c>
      <c r="BA102">
        <v>2985.2561798396</v>
      </c>
      <c r="BB102">
        <v>1007</v>
      </c>
      <c r="BC102">
        <v>-846.946778121374</v>
      </c>
      <c r="BE102">
        <f t="shared" si="2"/>
        <v>-30673.65568251918</v>
      </c>
      <c r="BF102">
        <f t="shared" si="3"/>
        <v>42356532.137093112</v>
      </c>
    </row>
    <row r="103" spans="1:58" x14ac:dyDescent="0.2">
      <c r="A103" s="1">
        <v>45329</v>
      </c>
      <c r="B103">
        <v>1050</v>
      </c>
      <c r="C103">
        <v>3143.9025617501702</v>
      </c>
      <c r="E103">
        <v>-8835.7052350697304</v>
      </c>
      <c r="F103">
        <v>27.8129684162062</v>
      </c>
      <c r="G103">
        <v>-1418.8088640445701</v>
      </c>
      <c r="H103">
        <v>-1702.40997662014</v>
      </c>
      <c r="I103">
        <v>-956</v>
      </c>
      <c r="J103">
        <v>86.990504387972294</v>
      </c>
      <c r="L103">
        <v>-5772</v>
      </c>
      <c r="M103">
        <v>1283.39621925142</v>
      </c>
      <c r="N103">
        <v>1240.9102400000299</v>
      </c>
      <c r="O103">
        <v>2231.05756507978</v>
      </c>
      <c r="P103">
        <v>-841</v>
      </c>
      <c r="Q103">
        <v>1360</v>
      </c>
      <c r="R103">
        <v>-2538</v>
      </c>
      <c r="T103">
        <v>-13840</v>
      </c>
      <c r="U103">
        <v>13149.906892114999</v>
      </c>
      <c r="V103">
        <v>4650</v>
      </c>
      <c r="W103">
        <v>2798.0509721447602</v>
      </c>
      <c r="X103">
        <v>-3510.2037477505701</v>
      </c>
      <c r="Y103">
        <v>-1551.66304891953</v>
      </c>
      <c r="Z103">
        <v>-2487.1868087401899</v>
      </c>
      <c r="AA103">
        <v>4671.4568849780399</v>
      </c>
      <c r="AC103">
        <v>8599.0184834546199</v>
      </c>
      <c r="AD103">
        <v>-1627.0267649606601</v>
      </c>
      <c r="AE103">
        <v>-1462.0232800077999</v>
      </c>
      <c r="AF103">
        <v>8069.4707617351396</v>
      </c>
      <c r="AG103">
        <v>0</v>
      </c>
      <c r="AH103">
        <v>-597.30329727894605</v>
      </c>
      <c r="AI103">
        <v>3323.9108054503199</v>
      </c>
      <c r="AK103">
        <v>2965.4105</v>
      </c>
      <c r="AL103">
        <v>4312.6142742918901</v>
      </c>
      <c r="AM103">
        <v>4231.77707505331</v>
      </c>
      <c r="AN103">
        <v>2760.6304905875199</v>
      </c>
      <c r="AP103">
        <v>469.77828839722201</v>
      </c>
      <c r="AQ103">
        <v>1856</v>
      </c>
      <c r="AR103">
        <v>-12044.2423990073</v>
      </c>
      <c r="AS103">
        <v>464</v>
      </c>
      <c r="AU103">
        <v>-350</v>
      </c>
      <c r="AV103">
        <v>1040</v>
      </c>
      <c r="AX103">
        <v>-197.90278259128499</v>
      </c>
      <c r="AY103">
        <v>-313.25956545045398</v>
      </c>
      <c r="AZ103">
        <v>-558.60430871604206</v>
      </c>
      <c r="BA103">
        <v>-3054.2051162139001</v>
      </c>
      <c r="BB103">
        <v>-836</v>
      </c>
      <c r="BC103">
        <v>18456.966806870099</v>
      </c>
      <c r="BE103">
        <f t="shared" si="2"/>
        <v>27749.517098592376</v>
      </c>
      <c r="BF103">
        <f t="shared" si="3"/>
        <v>42384281.654191703</v>
      </c>
    </row>
    <row r="104" spans="1:58" x14ac:dyDescent="0.2">
      <c r="A104" s="1">
        <v>45330</v>
      </c>
      <c r="B104">
        <v>4713.81229433514</v>
      </c>
      <c r="C104">
        <v>8204.7070355620799</v>
      </c>
      <c r="E104">
        <v>-5000</v>
      </c>
      <c r="F104">
        <v>0</v>
      </c>
      <c r="G104">
        <v>9500.9777569951093</v>
      </c>
      <c r="H104">
        <v>-2722.4928661143199</v>
      </c>
      <c r="I104">
        <v>4263.4701231466097</v>
      </c>
      <c r="J104">
        <v>-2999.32671414783</v>
      </c>
      <c r="L104">
        <v>15318</v>
      </c>
      <c r="M104">
        <v>9986.2152599083201</v>
      </c>
      <c r="N104">
        <v>2684.2523200000301</v>
      </c>
      <c r="O104">
        <v>1155.00000000004</v>
      </c>
      <c r="P104">
        <v>3219</v>
      </c>
      <c r="Q104">
        <v>1360</v>
      </c>
      <c r="R104">
        <v>6469.4541900320201</v>
      </c>
      <c r="T104">
        <v>-7357.95713462821</v>
      </c>
      <c r="U104">
        <v>3982.44078479058</v>
      </c>
      <c r="V104">
        <v>-5421.5643238696803</v>
      </c>
      <c r="W104">
        <v>-7126</v>
      </c>
      <c r="X104">
        <v>-1620</v>
      </c>
      <c r="Y104">
        <v>-720</v>
      </c>
      <c r="Z104">
        <v>-5022</v>
      </c>
      <c r="AA104">
        <v>-7079.5446378717897</v>
      </c>
      <c r="AC104">
        <v>17281</v>
      </c>
      <c r="AD104">
        <v>489.55259668640298</v>
      </c>
      <c r="AE104">
        <v>1254</v>
      </c>
      <c r="AF104">
        <v>16255.0231943893</v>
      </c>
      <c r="AG104">
        <v>0</v>
      </c>
      <c r="AH104">
        <v>108.15321947107</v>
      </c>
      <c r="AI104">
        <v>2920</v>
      </c>
      <c r="AK104">
        <v>1813.684</v>
      </c>
      <c r="AL104">
        <v>18500.0852603032</v>
      </c>
      <c r="AM104">
        <v>824.17691024400801</v>
      </c>
      <c r="AN104">
        <v>1119.3552972264399</v>
      </c>
      <c r="AP104">
        <v>-153</v>
      </c>
      <c r="AQ104">
        <v>-3427.7899003540501</v>
      </c>
      <c r="AR104">
        <v>12587</v>
      </c>
      <c r="AS104">
        <v>2336</v>
      </c>
      <c r="AU104">
        <v>2450</v>
      </c>
      <c r="AV104">
        <v>2704</v>
      </c>
      <c r="AX104">
        <v>-9.9731674080758399</v>
      </c>
      <c r="AY104">
        <v>-11966.474507609701</v>
      </c>
      <c r="AZ104">
        <v>-26.508505726704801</v>
      </c>
      <c r="BA104">
        <v>13330.828280040199</v>
      </c>
      <c r="BB104">
        <v>-2656.71574990715</v>
      </c>
      <c r="BC104">
        <v>-17949.394818147499</v>
      </c>
      <c r="BE104">
        <f t="shared" si="2"/>
        <v>83571.446197345518</v>
      </c>
      <c r="BF104">
        <f t="shared" si="3"/>
        <v>42467853.100389048</v>
      </c>
    </row>
    <row r="105" spans="1:58" x14ac:dyDescent="0.2">
      <c r="A105" s="1">
        <v>45331</v>
      </c>
      <c r="B105">
        <v>12440.3752105247</v>
      </c>
      <c r="C105">
        <v>4162.6586592659196</v>
      </c>
      <c r="E105">
        <v>-6600</v>
      </c>
      <c r="F105">
        <v>0</v>
      </c>
      <c r="G105">
        <v>235.99999999997399</v>
      </c>
      <c r="H105">
        <v>-4692.7978240000002</v>
      </c>
      <c r="I105">
        <v>-1551</v>
      </c>
      <c r="J105">
        <v>-1102</v>
      </c>
      <c r="L105">
        <v>-313.67876402068299</v>
      </c>
      <c r="M105">
        <v>1155.0516900995001</v>
      </c>
      <c r="N105">
        <v>3327.61022019235</v>
      </c>
      <c r="O105">
        <v>3695.9999999998599</v>
      </c>
      <c r="P105">
        <v>2117</v>
      </c>
      <c r="Q105">
        <v>2205.6262195916802</v>
      </c>
      <c r="R105">
        <v>6072</v>
      </c>
      <c r="T105">
        <v>1146.41175156743</v>
      </c>
      <c r="U105">
        <v>-2774.66029227953</v>
      </c>
      <c r="V105">
        <v>-3400</v>
      </c>
      <c r="W105">
        <v>2032.0909159438299</v>
      </c>
      <c r="X105">
        <v>-2538</v>
      </c>
      <c r="Y105">
        <v>-18</v>
      </c>
      <c r="Z105">
        <v>-6804</v>
      </c>
      <c r="AA105">
        <v>-2086.49999999996</v>
      </c>
      <c r="AC105">
        <v>28754</v>
      </c>
      <c r="AD105">
        <v>412</v>
      </c>
      <c r="AE105">
        <v>627</v>
      </c>
      <c r="AF105">
        <v>7300.4407984346199</v>
      </c>
      <c r="AG105">
        <v>0</v>
      </c>
      <c r="AH105">
        <v>16</v>
      </c>
      <c r="AI105">
        <v>3650</v>
      </c>
      <c r="AK105">
        <v>-2976.2049272120398</v>
      </c>
      <c r="AL105">
        <v>4060</v>
      </c>
      <c r="AM105">
        <v>-440.041333352545</v>
      </c>
      <c r="AN105">
        <v>-605.86494574032497</v>
      </c>
      <c r="AP105">
        <v>51</v>
      </c>
      <c r="AQ105">
        <v>-3840</v>
      </c>
      <c r="AR105">
        <v>10131</v>
      </c>
      <c r="AS105">
        <v>-2576</v>
      </c>
      <c r="AU105">
        <v>-910</v>
      </c>
      <c r="AV105">
        <v>-1352</v>
      </c>
      <c r="AX105">
        <v>442</v>
      </c>
      <c r="AY105">
        <v>-926.47890427936204</v>
      </c>
      <c r="AZ105">
        <v>-77.834836184091003</v>
      </c>
      <c r="BA105">
        <v>5254.05730273685</v>
      </c>
      <c r="BB105">
        <v>-497.78263171090498</v>
      </c>
      <c r="BC105">
        <v>-6084</v>
      </c>
      <c r="BE105">
        <f t="shared" si="2"/>
        <v>47121.478309577273</v>
      </c>
      <c r="BF105">
        <f t="shared" si="3"/>
        <v>42514974.578698628</v>
      </c>
    </row>
    <row r="106" spans="1:58" x14ac:dyDescent="0.2">
      <c r="A106" s="1">
        <v>45334</v>
      </c>
      <c r="B106">
        <v>-5692.8817473967401</v>
      </c>
      <c r="C106">
        <v>13057.5553303008</v>
      </c>
      <c r="E106">
        <v>-2400</v>
      </c>
      <c r="F106">
        <v>0</v>
      </c>
      <c r="G106">
        <v>-2123.99999999997</v>
      </c>
      <c r="H106">
        <v>8289.3368960000007</v>
      </c>
      <c r="I106">
        <v>474</v>
      </c>
      <c r="J106">
        <v>-3249</v>
      </c>
      <c r="L106">
        <v>6952.4299682802503</v>
      </c>
      <c r="M106">
        <v>2098.13363215872</v>
      </c>
      <c r="N106">
        <v>4445.8245790319897</v>
      </c>
      <c r="O106">
        <v>3079.99999999993</v>
      </c>
      <c r="P106">
        <v>-124.205343885904</v>
      </c>
      <c r="Q106">
        <v>-2374.4342135768602</v>
      </c>
      <c r="R106">
        <v>7593.8778018176799</v>
      </c>
      <c r="T106">
        <v>-4904.9063616355998</v>
      </c>
      <c r="U106">
        <v>-5557.1360894958298</v>
      </c>
      <c r="V106">
        <v>3400</v>
      </c>
      <c r="W106">
        <v>24.552362826208899</v>
      </c>
      <c r="X106">
        <v>-783</v>
      </c>
      <c r="Y106">
        <v>1512</v>
      </c>
      <c r="Z106">
        <v>10249.7321108915</v>
      </c>
      <c r="AA106">
        <v>2749.50000000007</v>
      </c>
      <c r="AC106">
        <v>18084</v>
      </c>
      <c r="AD106">
        <v>84</v>
      </c>
      <c r="AE106">
        <v>-43.630898637153699</v>
      </c>
      <c r="AF106">
        <v>36628.238305439598</v>
      </c>
      <c r="AG106">
        <v>-83.699369687607401</v>
      </c>
      <c r="AH106">
        <v>-560</v>
      </c>
      <c r="AI106">
        <v>-4410.6684339430103</v>
      </c>
      <c r="AK106">
        <v>0</v>
      </c>
      <c r="AL106">
        <v>4640</v>
      </c>
      <c r="AM106">
        <v>14419.984932384899</v>
      </c>
      <c r="AN106">
        <v>13774.597071129299</v>
      </c>
      <c r="AP106">
        <v>-172.68050920994199</v>
      </c>
      <c r="AQ106">
        <v>2760</v>
      </c>
      <c r="AR106">
        <v>-1265.80228409808</v>
      </c>
      <c r="AS106">
        <v>496</v>
      </c>
      <c r="AU106">
        <v>700</v>
      </c>
      <c r="AV106">
        <v>-6240</v>
      </c>
      <c r="AX106">
        <v>39</v>
      </c>
      <c r="AY106">
        <v>-307.28910002308902</v>
      </c>
      <c r="AZ106">
        <v>93.412260000024204</v>
      </c>
      <c r="BA106">
        <v>-3818.42423012582</v>
      </c>
      <c r="BB106">
        <v>-168.84323317619899</v>
      </c>
      <c r="BC106">
        <v>-3765.0263741272902</v>
      </c>
      <c r="BE106">
        <f t="shared" si="2"/>
        <v>107600.54706124189</v>
      </c>
      <c r="BF106">
        <f t="shared" si="3"/>
        <v>42622575.12575987</v>
      </c>
    </row>
    <row r="107" spans="1:58" x14ac:dyDescent="0.2">
      <c r="A107" s="1">
        <v>45335</v>
      </c>
      <c r="B107">
        <v>8326</v>
      </c>
      <c r="C107">
        <v>1161.27642463694</v>
      </c>
      <c r="E107">
        <v>10600</v>
      </c>
      <c r="F107">
        <v>-115.50971048864599</v>
      </c>
      <c r="G107">
        <v>1356.99999999998</v>
      </c>
      <c r="H107">
        <v>-9460.6562400000003</v>
      </c>
      <c r="I107">
        <v>648</v>
      </c>
      <c r="J107">
        <v>17.1580540530361</v>
      </c>
      <c r="L107">
        <v>9929.5331154215492</v>
      </c>
      <c r="M107">
        <v>3934.8637590959202</v>
      </c>
      <c r="N107">
        <v>8689.7550886342506</v>
      </c>
      <c r="O107">
        <v>6929.99999999998</v>
      </c>
      <c r="P107">
        <v>-2355.2898010400199</v>
      </c>
      <c r="Q107">
        <v>2300</v>
      </c>
      <c r="R107">
        <v>-5702.3147581706698</v>
      </c>
      <c r="T107">
        <v>177.56136294069299</v>
      </c>
      <c r="U107">
        <v>2416</v>
      </c>
      <c r="V107">
        <v>-1600</v>
      </c>
      <c r="W107">
        <v>-20</v>
      </c>
      <c r="X107">
        <v>2355.39138755455</v>
      </c>
      <c r="Y107">
        <v>5881.3741311601298</v>
      </c>
      <c r="Z107">
        <v>-4046</v>
      </c>
      <c r="AA107">
        <v>-897.00000000007003</v>
      </c>
      <c r="AC107">
        <v>11738.9086771088</v>
      </c>
      <c r="AD107">
        <v>-43.298979000554297</v>
      </c>
      <c r="AE107">
        <v>6649.20439210325</v>
      </c>
      <c r="AF107">
        <v>25545</v>
      </c>
      <c r="AG107">
        <v>-604.074212442673</v>
      </c>
      <c r="AH107">
        <v>-391.86639548540398</v>
      </c>
      <c r="AI107">
        <v>8736</v>
      </c>
      <c r="AK107">
        <v>-749.84332500000005</v>
      </c>
      <c r="AL107">
        <v>11001.2931123452</v>
      </c>
      <c r="AM107">
        <v>-2429.2262146746498</v>
      </c>
      <c r="AN107">
        <v>-3181.0514459457299</v>
      </c>
      <c r="AP107">
        <v>-51.235730623273199</v>
      </c>
      <c r="AQ107">
        <v>-2940</v>
      </c>
      <c r="AR107">
        <v>297.54561489941</v>
      </c>
      <c r="AS107">
        <v>-584</v>
      </c>
      <c r="AU107">
        <v>-2255.2511557214998</v>
      </c>
      <c r="AV107">
        <v>5077.6296249058596</v>
      </c>
      <c r="AX107">
        <v>70</v>
      </c>
      <c r="AY107">
        <v>0</v>
      </c>
      <c r="AZ107">
        <v>2680.9677296055102</v>
      </c>
      <c r="BA107">
        <v>9796.01498482016</v>
      </c>
      <c r="BB107">
        <v>-2736</v>
      </c>
      <c r="BC107">
        <v>10300.873548989501</v>
      </c>
      <c r="BE107">
        <f t="shared" si="2"/>
        <v>116454.73303968155</v>
      </c>
      <c r="BF107">
        <f t="shared" si="3"/>
        <v>42739029.858799554</v>
      </c>
    </row>
    <row r="108" spans="1:58" x14ac:dyDescent="0.2">
      <c r="A108" s="1">
        <v>45336</v>
      </c>
      <c r="B108">
        <v>6474.5270774009196</v>
      </c>
      <c r="C108">
        <v>-6642.3996084646797</v>
      </c>
      <c r="E108">
        <v>-600</v>
      </c>
      <c r="F108">
        <v>-524.61803754522498</v>
      </c>
      <c r="G108">
        <v>-2419.00000000002</v>
      </c>
      <c r="H108">
        <v>4302.0071997618898</v>
      </c>
      <c r="I108">
        <v>-726</v>
      </c>
      <c r="J108">
        <v>825.56488206176505</v>
      </c>
      <c r="L108">
        <v>4864.6883883995897</v>
      </c>
      <c r="M108">
        <v>539.79393520803706</v>
      </c>
      <c r="N108">
        <v>7597.1686803231696</v>
      </c>
      <c r="O108">
        <v>-10933.9999999998</v>
      </c>
      <c r="P108">
        <v>1624</v>
      </c>
      <c r="Q108">
        <v>3875.8997629557598</v>
      </c>
      <c r="R108">
        <v>2727.28507397984</v>
      </c>
      <c r="T108">
        <v>-1095</v>
      </c>
      <c r="U108">
        <v>14041.1832970829</v>
      </c>
      <c r="V108">
        <v>-300</v>
      </c>
      <c r="W108">
        <v>-175.20127368916701</v>
      </c>
      <c r="X108">
        <v>1332</v>
      </c>
      <c r="Y108">
        <v>1568.3576371393301</v>
      </c>
      <c r="Z108">
        <v>-4879</v>
      </c>
      <c r="AA108">
        <v>-721.49999999996396</v>
      </c>
      <c r="AC108">
        <v>-592.84507606590705</v>
      </c>
      <c r="AD108">
        <v>-726</v>
      </c>
      <c r="AE108">
        <v>-475.79770725400198</v>
      </c>
      <c r="AF108">
        <v>-14934</v>
      </c>
      <c r="AG108">
        <v>2760.9318073454301</v>
      </c>
      <c r="AH108">
        <v>-296.92775794881402</v>
      </c>
      <c r="AI108">
        <v>-5962.8782382937598</v>
      </c>
      <c r="AK108">
        <v>-1502.7507000000001</v>
      </c>
      <c r="AL108">
        <v>-12641.5202312991</v>
      </c>
      <c r="AM108">
        <v>9161.8591930311704</v>
      </c>
      <c r="AN108">
        <v>10383.4278485093</v>
      </c>
      <c r="AP108">
        <v>-921.53262732893404</v>
      </c>
      <c r="AQ108">
        <v>-1500</v>
      </c>
      <c r="AR108">
        <v>-17629.159036634399</v>
      </c>
      <c r="AS108">
        <v>-949.23353831085603</v>
      </c>
      <c r="AU108">
        <v>2844</v>
      </c>
      <c r="AV108">
        <v>36</v>
      </c>
      <c r="AX108">
        <v>213</v>
      </c>
      <c r="AY108">
        <v>0</v>
      </c>
      <c r="AZ108">
        <v>794.59599101171602</v>
      </c>
      <c r="BA108">
        <v>3624.53692633422</v>
      </c>
      <c r="BB108">
        <v>660</v>
      </c>
      <c r="BC108">
        <v>-1020</v>
      </c>
      <c r="BE108">
        <f t="shared" si="2"/>
        <v>-7918.5361322895878</v>
      </c>
      <c r="BF108">
        <f t="shared" si="3"/>
        <v>42731111.322667263</v>
      </c>
    </row>
    <row r="109" spans="1:58" x14ac:dyDescent="0.2">
      <c r="A109" s="1">
        <v>45337</v>
      </c>
      <c r="B109">
        <v>-2807.7934967200999</v>
      </c>
      <c r="C109">
        <v>4672.1288256142298</v>
      </c>
      <c r="E109">
        <v>-691.84448479263301</v>
      </c>
      <c r="F109">
        <v>-1115.91749833414</v>
      </c>
      <c r="G109">
        <v>-7579.5918803148497</v>
      </c>
      <c r="H109">
        <v>6271.6510995797598</v>
      </c>
      <c r="I109">
        <v>-4034.8675122721402</v>
      </c>
      <c r="J109">
        <v>-54.547736405726504</v>
      </c>
      <c r="L109">
        <v>2840.0372298761799</v>
      </c>
      <c r="M109">
        <v>-20202.429762109001</v>
      </c>
      <c r="N109">
        <v>-8479.4214158249997</v>
      </c>
      <c r="O109">
        <v>-1438.50238795111</v>
      </c>
      <c r="P109">
        <v>1012.90366100628</v>
      </c>
      <c r="Q109">
        <v>-2606.6090261857198</v>
      </c>
      <c r="R109">
        <v>781.11515260666704</v>
      </c>
      <c r="T109">
        <v>-1958.43325220052</v>
      </c>
      <c r="U109">
        <v>17189.576955807301</v>
      </c>
      <c r="V109">
        <v>4744.67685866591</v>
      </c>
      <c r="W109">
        <v>-154.675423715975</v>
      </c>
      <c r="X109">
        <v>-2610.61687244021</v>
      </c>
      <c r="Y109">
        <v>-698.62781010804395</v>
      </c>
      <c r="Z109">
        <v>3441.1339141542599</v>
      </c>
      <c r="AA109">
        <v>4041.4466379834398</v>
      </c>
      <c r="AC109">
        <v>8866.7429421579</v>
      </c>
      <c r="AD109">
        <v>248.69348808746</v>
      </c>
      <c r="AE109">
        <v>-2570.2028477817798</v>
      </c>
      <c r="AF109">
        <v>41581.2008082947</v>
      </c>
      <c r="AG109">
        <v>-3269.04650762438</v>
      </c>
      <c r="AH109">
        <v>2413.0768891091702</v>
      </c>
      <c r="AI109">
        <v>7337.7839185864204</v>
      </c>
      <c r="AK109">
        <v>-2396.1012794397302</v>
      </c>
      <c r="AL109">
        <v>16732.513659975</v>
      </c>
      <c r="AM109">
        <v>1947.2587868042399</v>
      </c>
      <c r="AN109">
        <v>1019.9787682768</v>
      </c>
      <c r="AP109">
        <v>2229.1802736528498</v>
      </c>
      <c r="AQ109">
        <v>-6418.3226899064503</v>
      </c>
      <c r="AR109">
        <v>6651.2853142501099</v>
      </c>
      <c r="AS109">
        <v>-1530.9737625716</v>
      </c>
      <c r="AU109">
        <v>647.96012620904105</v>
      </c>
      <c r="AV109">
        <v>-465.60293684405798</v>
      </c>
      <c r="AX109">
        <v>690.84831008952403</v>
      </c>
      <c r="AY109">
        <v>-11049.640912386099</v>
      </c>
      <c r="AZ109">
        <v>-8277.8444138792293</v>
      </c>
      <c r="BA109">
        <v>-4308.6423852962898</v>
      </c>
      <c r="BB109">
        <v>-2401.27351820373</v>
      </c>
      <c r="BC109">
        <v>9991.4182004758295</v>
      </c>
      <c r="BE109">
        <f t="shared" si="2"/>
        <v>48231.082007954567</v>
      </c>
      <c r="BF109">
        <f t="shared" si="3"/>
        <v>42779342.404675215</v>
      </c>
    </row>
    <row r="110" spans="1:58" x14ac:dyDescent="0.2">
      <c r="A110" s="1">
        <v>45338</v>
      </c>
      <c r="B110">
        <v>-3315</v>
      </c>
      <c r="C110">
        <v>-3439.9061515328999</v>
      </c>
      <c r="E110">
        <v>-2600</v>
      </c>
      <c r="F110">
        <v>-48</v>
      </c>
      <c r="G110">
        <v>4830.5114100871697</v>
      </c>
      <c r="H110">
        <v>4401.5985000000001</v>
      </c>
      <c r="I110">
        <v>1332.36380325239</v>
      </c>
      <c r="J110">
        <v>-912</v>
      </c>
      <c r="L110">
        <v>10692.6608385748</v>
      </c>
      <c r="M110">
        <v>1383.8853279899099</v>
      </c>
      <c r="N110">
        <v>-4022.9904000000001</v>
      </c>
      <c r="O110">
        <v>1925.0000000001601</v>
      </c>
      <c r="P110">
        <v>9396.5150084792695</v>
      </c>
      <c r="Q110">
        <v>331.54600901965398</v>
      </c>
      <c r="R110">
        <v>9112.0913777321202</v>
      </c>
      <c r="T110">
        <v>-820.60578551935305</v>
      </c>
      <c r="U110">
        <v>-18410.986379803999</v>
      </c>
      <c r="V110">
        <v>-9150</v>
      </c>
      <c r="W110">
        <v>1341</v>
      </c>
      <c r="X110">
        <v>-918</v>
      </c>
      <c r="Y110">
        <v>-410.56403746858803</v>
      </c>
      <c r="Z110">
        <v>-782</v>
      </c>
      <c r="AA110">
        <v>-11077</v>
      </c>
      <c r="AC110">
        <v>363.62234431476099</v>
      </c>
      <c r="AD110">
        <v>-36.595835102095599</v>
      </c>
      <c r="AE110">
        <v>-10597.2940444829</v>
      </c>
      <c r="AF110">
        <v>-17554</v>
      </c>
      <c r="AG110">
        <v>14154</v>
      </c>
      <c r="AH110">
        <v>1344</v>
      </c>
      <c r="AI110">
        <v>-940.06602573582904</v>
      </c>
      <c r="AK110">
        <v>-1160.6745725022099</v>
      </c>
      <c r="AL110">
        <v>12204</v>
      </c>
      <c r="AM110">
        <v>-14576.657047393201</v>
      </c>
      <c r="AN110">
        <v>-11989.5082350844</v>
      </c>
      <c r="AP110">
        <v>2702.7354963891298</v>
      </c>
      <c r="AQ110">
        <v>2491.8504068985799</v>
      </c>
      <c r="AR110">
        <v>34944</v>
      </c>
      <c r="AS110">
        <v>4290.59593081002</v>
      </c>
      <c r="AU110">
        <v>-177.726585488111</v>
      </c>
      <c r="AV110">
        <v>-1122</v>
      </c>
      <c r="AX110">
        <v>-641.59012258652103</v>
      </c>
      <c r="AY110">
        <v>3244.5072081785502</v>
      </c>
      <c r="AZ110">
        <v>1298.36322000001</v>
      </c>
      <c r="BA110">
        <v>10197.516</v>
      </c>
      <c r="BB110">
        <v>4580.7568778597297</v>
      </c>
      <c r="BC110">
        <v>-4896</v>
      </c>
      <c r="BE110">
        <f t="shared" si="2"/>
        <v>16963.95453688614</v>
      </c>
      <c r="BF110">
        <f t="shared" si="3"/>
        <v>42796306.359212101</v>
      </c>
    </row>
    <row r="111" spans="1:58" x14ac:dyDescent="0.2">
      <c r="A111" s="1">
        <v>45341</v>
      </c>
      <c r="B111">
        <v>-13413</v>
      </c>
      <c r="C111">
        <v>-15263.970249384</v>
      </c>
      <c r="E111">
        <v>3200</v>
      </c>
      <c r="F111">
        <v>-1224</v>
      </c>
      <c r="G111">
        <v>-6239.99999999995</v>
      </c>
      <c r="H111">
        <v>-1265.07471980949</v>
      </c>
      <c r="I111">
        <v>-544</v>
      </c>
      <c r="J111">
        <v>-659.84988376869103</v>
      </c>
      <c r="L111">
        <v>-4873.4334675177197</v>
      </c>
      <c r="M111">
        <v>-8203.4873333853193</v>
      </c>
      <c r="N111">
        <v>-3766.7524399998101</v>
      </c>
      <c r="O111">
        <v>6236.9999999998199</v>
      </c>
      <c r="P111">
        <v>-3059.54233930189</v>
      </c>
      <c r="Q111">
        <v>-1066.8330151769401</v>
      </c>
      <c r="R111">
        <v>13977.981598259001</v>
      </c>
      <c r="T111">
        <v>-38.457595351394197</v>
      </c>
      <c r="U111">
        <v>15272</v>
      </c>
      <c r="V111">
        <v>2153.8450308749402</v>
      </c>
      <c r="W111">
        <v>-871.46114942189604</v>
      </c>
      <c r="X111">
        <v>236.430373209885</v>
      </c>
      <c r="Y111">
        <v>-12424.6161749029</v>
      </c>
      <c r="Z111">
        <v>42.430540811944802</v>
      </c>
      <c r="AA111">
        <v>2931.2910521328799</v>
      </c>
      <c r="AC111">
        <v>21042</v>
      </c>
      <c r="AD111">
        <v>-170</v>
      </c>
      <c r="AE111">
        <v>4601.2296152942299</v>
      </c>
      <c r="AF111">
        <v>-285.57031555709</v>
      </c>
      <c r="AG111">
        <v>-5177.7471686389699</v>
      </c>
      <c r="AH111">
        <v>1822.26890409318</v>
      </c>
      <c r="AI111">
        <v>11546.2810441048</v>
      </c>
      <c r="AK111">
        <v>-887.60936153814396</v>
      </c>
      <c r="AL111">
        <v>2693.2847307101702</v>
      </c>
      <c r="AM111">
        <v>9280</v>
      </c>
      <c r="AN111">
        <v>6888</v>
      </c>
      <c r="AP111">
        <v>-2479.1182398568199</v>
      </c>
      <c r="AQ111">
        <v>-1750.43443106224</v>
      </c>
      <c r="AR111">
        <v>13832</v>
      </c>
      <c r="AS111">
        <v>-1110</v>
      </c>
      <c r="AU111">
        <v>-5791.3808953136304</v>
      </c>
      <c r="AV111">
        <v>1088</v>
      </c>
      <c r="AX111">
        <v>2007</v>
      </c>
      <c r="AY111">
        <v>-2438.51252807734</v>
      </c>
      <c r="AZ111">
        <v>1396.84979</v>
      </c>
      <c r="BA111">
        <v>-12938.878277277299</v>
      </c>
      <c r="BB111">
        <v>-4.9660038841974004</v>
      </c>
      <c r="BC111">
        <v>2652</v>
      </c>
      <c r="BE111">
        <f t="shared" si="2"/>
        <v>16951.197090265123</v>
      </c>
      <c r="BF111">
        <f t="shared" si="3"/>
        <v>42813257.556302369</v>
      </c>
    </row>
    <row r="112" spans="1:58" x14ac:dyDescent="0.2">
      <c r="A112" s="1">
        <v>45342</v>
      </c>
      <c r="B112">
        <v>-7752</v>
      </c>
      <c r="C112">
        <v>-11932</v>
      </c>
      <c r="E112">
        <v>-4600</v>
      </c>
      <c r="F112">
        <v>2517.5963313419002</v>
      </c>
      <c r="G112">
        <v>-488.30780899676301</v>
      </c>
      <c r="H112">
        <v>-3306.38250809482</v>
      </c>
      <c r="I112">
        <v>-313.41877749368598</v>
      </c>
      <c r="J112">
        <v>460.00863566267901</v>
      </c>
      <c r="L112">
        <v>20442.246739696599</v>
      </c>
      <c r="M112">
        <v>-846.183080389476</v>
      </c>
      <c r="N112">
        <v>-10485.824360000101</v>
      </c>
      <c r="O112">
        <v>1770.99999999997</v>
      </c>
      <c r="P112">
        <v>7095.4057820005501</v>
      </c>
      <c r="Q112">
        <v>-2968.3848832734702</v>
      </c>
      <c r="R112">
        <v>11848.340145317001</v>
      </c>
      <c r="T112">
        <v>538.12789265758897</v>
      </c>
      <c r="U112">
        <v>-8964</v>
      </c>
      <c r="V112">
        <v>-9400</v>
      </c>
      <c r="W112">
        <v>2561</v>
      </c>
      <c r="X112">
        <v>-250</v>
      </c>
      <c r="Y112">
        <v>-4836</v>
      </c>
      <c r="Z112">
        <v>-49.484116375651404</v>
      </c>
      <c r="AA112">
        <v>-11572.769241638</v>
      </c>
      <c r="AC112">
        <v>252</v>
      </c>
      <c r="AD112">
        <v>2006</v>
      </c>
      <c r="AE112">
        <v>-23015.141714089601</v>
      </c>
      <c r="AF112">
        <v>-26288</v>
      </c>
      <c r="AG112">
        <v>4305</v>
      </c>
      <c r="AH112">
        <v>-2650.6556561215498</v>
      </c>
      <c r="AI112">
        <v>2378.8514765403202</v>
      </c>
      <c r="AK112">
        <v>-54.978797652596903</v>
      </c>
      <c r="AL112">
        <v>13161.698541092701</v>
      </c>
      <c r="AM112">
        <v>-16878</v>
      </c>
      <c r="AN112">
        <v>-16411.827015774699</v>
      </c>
      <c r="AP112">
        <v>16781.945759550999</v>
      </c>
      <c r="AQ112">
        <v>-2611.1912601778799</v>
      </c>
      <c r="AR112">
        <v>12376</v>
      </c>
      <c r="AS112">
        <v>3975</v>
      </c>
      <c r="AU112">
        <v>5841</v>
      </c>
      <c r="AV112">
        <v>-1493.6268292720899</v>
      </c>
      <c r="AX112">
        <v>-720.74788157637897</v>
      </c>
      <c r="AY112">
        <v>-10715.603602384501</v>
      </c>
      <c r="AZ112">
        <v>-2132.0338900000102</v>
      </c>
      <c r="BA112">
        <v>7100.6745600002596</v>
      </c>
      <c r="BB112">
        <v>381.49483471702899</v>
      </c>
      <c r="BC112">
        <v>-12240</v>
      </c>
      <c r="BE112">
        <f t="shared" si="2"/>
        <v>-77183.170724733674</v>
      </c>
      <c r="BF112">
        <f t="shared" si="3"/>
        <v>42736074.385577634</v>
      </c>
    </row>
    <row r="113" spans="1:58" x14ac:dyDescent="0.2">
      <c r="A113" s="1">
        <v>45343</v>
      </c>
      <c r="B113">
        <v>-782.71512354333095</v>
      </c>
      <c r="C113">
        <v>7277.6798779281098</v>
      </c>
      <c r="E113">
        <v>-15800</v>
      </c>
      <c r="F113">
        <v>340</v>
      </c>
      <c r="G113">
        <v>153.29632840127499</v>
      </c>
      <c r="H113">
        <v>4640.1622960000004</v>
      </c>
      <c r="I113">
        <v>352.849659812798</v>
      </c>
      <c r="J113">
        <v>5377.0497439541004</v>
      </c>
      <c r="L113">
        <v>26382.314189462901</v>
      </c>
      <c r="M113">
        <v>-2916.8506415500201</v>
      </c>
      <c r="N113">
        <v>3964.3975800000899</v>
      </c>
      <c r="O113">
        <v>21454.212980269502</v>
      </c>
      <c r="P113">
        <v>12138.048361094299</v>
      </c>
      <c r="Q113">
        <v>17860</v>
      </c>
      <c r="R113">
        <v>23137.080579636498</v>
      </c>
      <c r="T113">
        <v>1866.57781581732</v>
      </c>
      <c r="U113">
        <v>-42496</v>
      </c>
      <c r="V113">
        <v>-10616.201605542499</v>
      </c>
      <c r="W113">
        <v>5678.7971907715801</v>
      </c>
      <c r="X113">
        <v>-15724.281224692901</v>
      </c>
      <c r="Y113">
        <v>-510.83646368928299</v>
      </c>
      <c r="Z113">
        <v>1188.6699867411701</v>
      </c>
      <c r="AA113">
        <v>-11596.320490104599</v>
      </c>
      <c r="AC113">
        <v>46886</v>
      </c>
      <c r="AD113">
        <v>1688.5534807219301</v>
      </c>
      <c r="AE113">
        <v>-12370.152841113601</v>
      </c>
      <c r="AF113">
        <v>-28589.323008736101</v>
      </c>
      <c r="AG113">
        <v>14384.898474371799</v>
      </c>
      <c r="AH113">
        <v>-10440</v>
      </c>
      <c r="AI113">
        <v>6233.5193860850004</v>
      </c>
      <c r="AK113">
        <v>3797.3408286608901</v>
      </c>
      <c r="AL113">
        <v>7142.7057341354703</v>
      </c>
      <c r="AM113">
        <v>-28072</v>
      </c>
      <c r="AN113">
        <v>-29469</v>
      </c>
      <c r="AP113">
        <v>813.86619402708402</v>
      </c>
      <c r="AQ113">
        <v>-4312.7230620243299</v>
      </c>
      <c r="AR113">
        <v>13811.897897549999</v>
      </c>
      <c r="AS113">
        <v>4756.9404238368297</v>
      </c>
      <c r="AU113">
        <v>-2865.5632085987299</v>
      </c>
      <c r="AV113">
        <v>1529.0164967799899</v>
      </c>
      <c r="AX113">
        <v>1208</v>
      </c>
      <c r="AY113">
        <v>0</v>
      </c>
      <c r="AZ113">
        <v>513.91445000002398</v>
      </c>
      <c r="BA113">
        <v>-2366.0160000000801</v>
      </c>
      <c r="BB113">
        <v>4616.1162959425901</v>
      </c>
      <c r="BC113">
        <v>-11307.1588435961</v>
      </c>
      <c r="BE113">
        <f t="shared" si="2"/>
        <v>8958.76373880969</v>
      </c>
      <c r="BF113">
        <f t="shared" si="3"/>
        <v>42745033.149316445</v>
      </c>
    </row>
    <row r="114" spans="1:58" x14ac:dyDescent="0.2">
      <c r="A114" s="1">
        <v>45344</v>
      </c>
      <c r="B114">
        <v>-5244.2044267762103</v>
      </c>
      <c r="C114">
        <v>-2555.6091522838701</v>
      </c>
      <c r="E114">
        <v>-2013.3920804255099</v>
      </c>
      <c r="F114">
        <v>-1294.94747712917</v>
      </c>
      <c r="G114">
        <v>-159.296467632169</v>
      </c>
      <c r="H114">
        <v>23327.189795216502</v>
      </c>
      <c r="I114">
        <v>-76.154906404627198</v>
      </c>
      <c r="J114">
        <v>4209.6095550780001</v>
      </c>
      <c r="L114">
        <v>5958.0870510942495</v>
      </c>
      <c r="M114">
        <v>-2047.7762820589801</v>
      </c>
      <c r="N114">
        <v>-2031.6780000000001</v>
      </c>
      <c r="O114">
        <v>4495.3296438985699</v>
      </c>
      <c r="P114">
        <v>5758.0956101292304</v>
      </c>
      <c r="Q114">
        <v>5657.65925174321</v>
      </c>
      <c r="R114">
        <v>-4394.6496346837102</v>
      </c>
      <c r="T114">
        <v>-1626.31592935141</v>
      </c>
      <c r="U114">
        <v>10842.335969785199</v>
      </c>
      <c r="V114">
        <v>178.03147633245101</v>
      </c>
      <c r="W114">
        <v>2605.8091139901599</v>
      </c>
      <c r="X114">
        <v>-1878.3260236078299</v>
      </c>
      <c r="Y114">
        <v>4487.4981840849296</v>
      </c>
      <c r="Z114">
        <v>-1808.6705754534</v>
      </c>
      <c r="AA114">
        <v>276.12509885363397</v>
      </c>
      <c r="AC114">
        <v>50862</v>
      </c>
      <c r="AD114">
        <v>4433.9087974176</v>
      </c>
      <c r="AE114">
        <v>-249.362290462</v>
      </c>
      <c r="AF114">
        <v>246.44041815198599</v>
      </c>
      <c r="AG114">
        <v>-2632</v>
      </c>
      <c r="AH114">
        <v>-900.62776694654701</v>
      </c>
      <c r="AI114">
        <v>-9469.5653355543509</v>
      </c>
      <c r="AK114">
        <v>-517.38220321514405</v>
      </c>
      <c r="AL114">
        <v>-2441.74934662242</v>
      </c>
      <c r="AM114">
        <v>4166.0888499694001</v>
      </c>
      <c r="AN114">
        <v>7218.7373545908304</v>
      </c>
      <c r="AP114">
        <v>3236.5488849229901</v>
      </c>
      <c r="AQ114">
        <v>-147.75822616384201</v>
      </c>
      <c r="AR114">
        <v>6720.8715169007901</v>
      </c>
      <c r="AS114">
        <v>2377.6272777131599</v>
      </c>
      <c r="AU114">
        <v>5232</v>
      </c>
      <c r="AV114">
        <v>0</v>
      </c>
      <c r="AX114">
        <v>-591.33895292228306</v>
      </c>
      <c r="AY114">
        <v>0</v>
      </c>
      <c r="AZ114">
        <v>806.49568999999201</v>
      </c>
      <c r="BA114">
        <v>-786.36672000040198</v>
      </c>
      <c r="BB114">
        <v>-49.628627694078098</v>
      </c>
      <c r="BC114">
        <v>2684.1340530042798</v>
      </c>
      <c r="BE114">
        <f t="shared" si="2"/>
        <v>112863.8231674892</v>
      </c>
      <c r="BF114">
        <f t="shared" si="3"/>
        <v>42857896.972483933</v>
      </c>
    </row>
    <row r="115" spans="1:58" x14ac:dyDescent="0.2">
      <c r="A115" s="1">
        <v>45345</v>
      </c>
      <c r="B115">
        <v>-68.338783461571893</v>
      </c>
      <c r="C115">
        <v>-41.358997135483399</v>
      </c>
      <c r="E115">
        <v>-148.06237038933199</v>
      </c>
      <c r="F115">
        <v>0</v>
      </c>
      <c r="G115">
        <v>-4.2183675154276603</v>
      </c>
      <c r="H115">
        <v>0</v>
      </c>
      <c r="I115">
        <v>-16.0055215951325</v>
      </c>
      <c r="J115">
        <v>-35.525517150041303</v>
      </c>
      <c r="L115">
        <v>-11.4275713270534</v>
      </c>
      <c r="M115">
        <v>-26.5121576818294</v>
      </c>
      <c r="N115">
        <v>-26.2796558440346</v>
      </c>
      <c r="O115">
        <v>-314.00518494387097</v>
      </c>
      <c r="P115">
        <v>-156.14692176182999</v>
      </c>
      <c r="Q115">
        <v>-59.014356905134797</v>
      </c>
      <c r="R115">
        <v>-15.9154578504647</v>
      </c>
      <c r="T115">
        <v>-38.144514460451397</v>
      </c>
      <c r="U115">
        <v>-22.633866665783401</v>
      </c>
      <c r="V115">
        <v>-21.870232794510098</v>
      </c>
      <c r="W115">
        <v>-68.186151664458507</v>
      </c>
      <c r="X115">
        <v>-72.376694915351607</v>
      </c>
      <c r="Y115">
        <v>0</v>
      </c>
      <c r="Z115">
        <v>-41.901442948033797</v>
      </c>
      <c r="AA115">
        <v>-21.769295077909199</v>
      </c>
      <c r="AC115">
        <v>0</v>
      </c>
      <c r="AD115">
        <v>-53.844779162936902</v>
      </c>
      <c r="AE115">
        <v>-182.02725746024601</v>
      </c>
      <c r="AF115">
        <v>-27.4807143248801</v>
      </c>
      <c r="AG115">
        <v>-83.410638707201898</v>
      </c>
      <c r="AH115">
        <v>-177.75673576661899</v>
      </c>
      <c r="AI115">
        <v>0</v>
      </c>
      <c r="AK115">
        <v>-55.442254414781701</v>
      </c>
      <c r="AL115">
        <v>-43.083755378579397</v>
      </c>
      <c r="AM115">
        <v>-63.376567874124802</v>
      </c>
      <c r="AN115">
        <v>-15.383526022269599</v>
      </c>
      <c r="AP115">
        <v>-29.5834451331352</v>
      </c>
      <c r="AQ115">
        <v>-40.704179665210098</v>
      </c>
      <c r="AR115">
        <v>-27.186173915595099</v>
      </c>
      <c r="AS115">
        <v>-64.136422627417204</v>
      </c>
      <c r="AU115">
        <v>-167.37181945353601</v>
      </c>
      <c r="AV115">
        <v>0</v>
      </c>
      <c r="AX115">
        <v>0</v>
      </c>
      <c r="AY115">
        <v>0</v>
      </c>
      <c r="AZ115">
        <v>0</v>
      </c>
      <c r="BA115">
        <v>0</v>
      </c>
      <c r="BB115">
        <v>-19.4847701412018</v>
      </c>
      <c r="BC115">
        <v>-46.720614571512897</v>
      </c>
      <c r="BE115">
        <f t="shared" si="2"/>
        <v>-2306.6867167069522</v>
      </c>
      <c r="BF115">
        <f t="shared" si="3"/>
        <v>42855590.285767227</v>
      </c>
    </row>
    <row r="116" spans="1:58" x14ac:dyDescent="0.2">
      <c r="A116" s="1">
        <v>45348</v>
      </c>
      <c r="B116">
        <v>7253.1063753314402</v>
      </c>
      <c r="C116">
        <v>-12065</v>
      </c>
      <c r="E116">
        <v>12809.5185396503</v>
      </c>
      <c r="F116">
        <v>-7548</v>
      </c>
      <c r="G116">
        <v>858.00000000000898</v>
      </c>
      <c r="H116">
        <v>8212.1787999999997</v>
      </c>
      <c r="I116">
        <v>-535</v>
      </c>
      <c r="J116">
        <v>-17383.572412581601</v>
      </c>
      <c r="L116">
        <v>-17785.9045407138</v>
      </c>
      <c r="M116">
        <v>-3249.5</v>
      </c>
      <c r="N116">
        <v>-4173.8355000000001</v>
      </c>
      <c r="O116">
        <v>-13950.0000000001</v>
      </c>
      <c r="P116">
        <v>-15151</v>
      </c>
      <c r="Q116">
        <v>-14500</v>
      </c>
      <c r="R116">
        <v>-34720</v>
      </c>
      <c r="T116">
        <v>-5706</v>
      </c>
      <c r="U116">
        <v>12492.5368127642</v>
      </c>
      <c r="V116">
        <v>-17850</v>
      </c>
      <c r="W116">
        <v>-15768</v>
      </c>
      <c r="X116">
        <v>-2250</v>
      </c>
      <c r="Y116">
        <v>3780</v>
      </c>
      <c r="Z116">
        <v>-12714</v>
      </c>
      <c r="AA116">
        <v>-19545.499999999902</v>
      </c>
      <c r="AC116">
        <v>-15033.387541198201</v>
      </c>
      <c r="AD116">
        <v>-8976</v>
      </c>
      <c r="AE116">
        <v>-7095</v>
      </c>
      <c r="AF116">
        <v>19320.0157468572</v>
      </c>
      <c r="AG116">
        <v>-18936</v>
      </c>
      <c r="AH116">
        <v>541.79114457606795</v>
      </c>
      <c r="AI116">
        <v>8940</v>
      </c>
      <c r="AK116">
        <v>-20034.410400000001</v>
      </c>
      <c r="AL116">
        <v>-20121.189926949901</v>
      </c>
      <c r="AM116">
        <v>22644</v>
      </c>
      <c r="AN116">
        <v>23661</v>
      </c>
      <c r="AP116">
        <v>-14111.7433602849</v>
      </c>
      <c r="AQ116">
        <v>-6200</v>
      </c>
      <c r="AR116">
        <v>-37758</v>
      </c>
      <c r="AS116">
        <v>-12180</v>
      </c>
      <c r="AU116">
        <v>-1579.57854855101</v>
      </c>
      <c r="AV116">
        <v>3762</v>
      </c>
      <c r="AX116">
        <v>-2166</v>
      </c>
      <c r="AY116">
        <v>0</v>
      </c>
      <c r="AZ116">
        <v>222.046229999975</v>
      </c>
      <c r="BA116">
        <v>10261.222400000201</v>
      </c>
      <c r="BB116">
        <v>-7622</v>
      </c>
      <c r="BC116">
        <v>10682.219742830001</v>
      </c>
      <c r="BE116">
        <f t="shared" si="2"/>
        <v>-241268.98643827002</v>
      </c>
      <c r="BF116">
        <f t="shared" si="3"/>
        <v>42614321.29932896</v>
      </c>
    </row>
    <row r="117" spans="1:58" x14ac:dyDescent="0.2">
      <c r="A117" s="1">
        <v>45349</v>
      </c>
      <c r="B117">
        <v>-2128</v>
      </c>
      <c r="C117">
        <v>-16132.542548978399</v>
      </c>
      <c r="E117">
        <v>-1716</v>
      </c>
      <c r="F117">
        <v>772.01633237609803</v>
      </c>
      <c r="G117">
        <v>168.99999999999801</v>
      </c>
      <c r="H117">
        <v>16649.3488</v>
      </c>
      <c r="I117">
        <v>-295</v>
      </c>
      <c r="J117">
        <v>-12264</v>
      </c>
      <c r="L117">
        <v>6751</v>
      </c>
      <c r="M117">
        <v>-1244.9439510781899</v>
      </c>
      <c r="N117">
        <v>-7168.0760136617901</v>
      </c>
      <c r="O117">
        <v>-25650</v>
      </c>
      <c r="P117">
        <v>-3197</v>
      </c>
      <c r="Q117">
        <v>-4000</v>
      </c>
      <c r="R117">
        <v>11200</v>
      </c>
      <c r="T117">
        <v>-390</v>
      </c>
      <c r="U117">
        <v>2848</v>
      </c>
      <c r="V117">
        <v>1275</v>
      </c>
      <c r="W117">
        <v>-8829</v>
      </c>
      <c r="X117">
        <v>-342</v>
      </c>
      <c r="Y117">
        <v>-1335</v>
      </c>
      <c r="Z117">
        <v>6683</v>
      </c>
      <c r="AA117">
        <v>1193.49999999997</v>
      </c>
      <c r="AC117">
        <v>-29328</v>
      </c>
      <c r="AD117">
        <v>969</v>
      </c>
      <c r="AE117">
        <v>5005</v>
      </c>
      <c r="AF117">
        <v>-3600</v>
      </c>
      <c r="AG117">
        <v>8451</v>
      </c>
      <c r="AH117">
        <v>-18.3718813495224</v>
      </c>
      <c r="AI117">
        <v>-2980</v>
      </c>
      <c r="AK117">
        <v>-417.38355000000001</v>
      </c>
      <c r="AL117">
        <v>21600</v>
      </c>
      <c r="AM117">
        <v>6188</v>
      </c>
      <c r="AN117">
        <v>5371.13875873497</v>
      </c>
      <c r="AP117">
        <v>2907</v>
      </c>
      <c r="AQ117">
        <v>2000</v>
      </c>
      <c r="AR117">
        <v>30044</v>
      </c>
      <c r="AS117">
        <v>-1035</v>
      </c>
      <c r="AU117">
        <v>-8416.1885789018197</v>
      </c>
      <c r="AV117">
        <v>-528</v>
      </c>
      <c r="AX117">
        <v>-336</v>
      </c>
      <c r="AY117">
        <v>0</v>
      </c>
      <c r="AZ117">
        <v>0</v>
      </c>
      <c r="BA117">
        <v>4363.1250213522599</v>
      </c>
      <c r="BB117">
        <v>1702</v>
      </c>
      <c r="BC117">
        <v>38.049716541659897</v>
      </c>
      <c r="BE117">
        <f t="shared" si="2"/>
        <v>4828.6721050352262</v>
      </c>
      <c r="BF117">
        <f t="shared" si="3"/>
        <v>42619149.971433997</v>
      </c>
    </row>
    <row r="118" spans="1:58" x14ac:dyDescent="0.2">
      <c r="A118" s="1">
        <v>45350</v>
      </c>
      <c r="B118">
        <v>976</v>
      </c>
      <c r="C118">
        <v>9410.9794854151896</v>
      </c>
      <c r="E118">
        <v>-2002</v>
      </c>
      <c r="F118">
        <v>-711.77554198005396</v>
      </c>
      <c r="G118">
        <v>2028</v>
      </c>
      <c r="H118">
        <v>1374.6135909771999</v>
      </c>
      <c r="I118">
        <v>-5990</v>
      </c>
      <c r="J118">
        <v>11872</v>
      </c>
      <c r="L118">
        <v>-28269.531515938001</v>
      </c>
      <c r="M118">
        <v>3006.1162448291302</v>
      </c>
      <c r="N118">
        <v>-109.400883066059</v>
      </c>
      <c r="O118">
        <v>-16853.755161020901</v>
      </c>
      <c r="P118">
        <v>-19877</v>
      </c>
      <c r="Q118">
        <v>4500</v>
      </c>
      <c r="R118">
        <v>-1120</v>
      </c>
      <c r="T118">
        <v>1662</v>
      </c>
      <c r="U118">
        <v>15130</v>
      </c>
      <c r="V118">
        <v>-4200</v>
      </c>
      <c r="W118">
        <v>-1905.6899137282001</v>
      </c>
      <c r="X118">
        <v>255.18015654053201</v>
      </c>
      <c r="Y118">
        <v>3585</v>
      </c>
      <c r="Z118">
        <v>6031</v>
      </c>
      <c r="AA118">
        <v>-4433.00000000005</v>
      </c>
      <c r="AC118">
        <v>16103.767628363799</v>
      </c>
      <c r="AD118">
        <v>0</v>
      </c>
      <c r="AE118">
        <v>880</v>
      </c>
      <c r="AF118">
        <v>28350</v>
      </c>
      <c r="AG118">
        <v>-10467</v>
      </c>
      <c r="AH118">
        <v>-1833.3569260643401</v>
      </c>
      <c r="AI118">
        <v>7748</v>
      </c>
      <c r="AK118">
        <v>-12922.177949999999</v>
      </c>
      <c r="AL118">
        <v>4473.2579985408202</v>
      </c>
      <c r="AM118">
        <v>-884.88680413626298</v>
      </c>
      <c r="AN118">
        <v>-2061.3187046824501</v>
      </c>
      <c r="AP118">
        <v>-3594.4590057699902</v>
      </c>
      <c r="AQ118">
        <v>1702.55469942118</v>
      </c>
      <c r="AR118">
        <v>-12586</v>
      </c>
      <c r="AS118">
        <v>3060</v>
      </c>
      <c r="AU118">
        <v>-92.573497500795497</v>
      </c>
      <c r="AV118">
        <v>-314.43657562473499</v>
      </c>
      <c r="AX118">
        <v>-5508</v>
      </c>
      <c r="AY118">
        <v>0</v>
      </c>
      <c r="AZ118">
        <v>73.684659999991894</v>
      </c>
      <c r="BA118">
        <v>-3230.32876514499</v>
      </c>
      <c r="BB118">
        <v>1924</v>
      </c>
      <c r="BC118">
        <v>-263.569879935377</v>
      </c>
      <c r="BE118">
        <f t="shared" si="2"/>
        <v>-15084.106660504356</v>
      </c>
      <c r="BF118">
        <f t="shared" si="3"/>
        <v>42604065.86477349</v>
      </c>
    </row>
    <row r="119" spans="1:58" x14ac:dyDescent="0.2">
      <c r="A119" s="1">
        <v>45351</v>
      </c>
      <c r="B119">
        <v>1920</v>
      </c>
      <c r="C119">
        <v>2205</v>
      </c>
      <c r="E119">
        <v>20163</v>
      </c>
      <c r="F119">
        <v>-399.13614070244699</v>
      </c>
      <c r="G119">
        <v>238.39605955783699</v>
      </c>
      <c r="H119">
        <v>17117.517448308601</v>
      </c>
      <c r="I119">
        <v>-2751.7964759301499</v>
      </c>
      <c r="J119">
        <v>3472</v>
      </c>
      <c r="L119">
        <v>-11665.9017231896</v>
      </c>
      <c r="M119">
        <v>57.599999999980298</v>
      </c>
      <c r="N119">
        <v>-7683.7489608697597</v>
      </c>
      <c r="O119">
        <v>-1330.3167843440201</v>
      </c>
      <c r="P119">
        <v>4079.09185538166</v>
      </c>
      <c r="Q119">
        <v>-11000</v>
      </c>
      <c r="R119">
        <v>-7280</v>
      </c>
      <c r="T119">
        <v>-4800</v>
      </c>
      <c r="U119">
        <v>3916</v>
      </c>
      <c r="V119">
        <v>-9975</v>
      </c>
      <c r="W119">
        <v>1984.9433188426401</v>
      </c>
      <c r="X119">
        <v>4630</v>
      </c>
      <c r="Y119">
        <v>9522.1006833874198</v>
      </c>
      <c r="Z119">
        <v>-16465.994918675999</v>
      </c>
      <c r="AA119">
        <v>-9547.9999999999109</v>
      </c>
      <c r="AC119">
        <v>-2431</v>
      </c>
      <c r="AD119">
        <v>-2295</v>
      </c>
      <c r="AE119">
        <v>-1688.9161187500199</v>
      </c>
      <c r="AF119">
        <v>-450</v>
      </c>
      <c r="AG119">
        <v>-2511</v>
      </c>
      <c r="AH119">
        <v>470</v>
      </c>
      <c r="AI119">
        <v>1487.30795738911</v>
      </c>
      <c r="AK119">
        <v>-10868.2033788016</v>
      </c>
      <c r="AL119">
        <v>-18127.1776705132</v>
      </c>
      <c r="AM119">
        <v>6193.9093271824404</v>
      </c>
      <c r="AN119">
        <v>3600.3033605383998</v>
      </c>
      <c r="AP119">
        <v>-5017</v>
      </c>
      <c r="AQ119">
        <v>-3614.0971046411601</v>
      </c>
      <c r="AR119">
        <v>-43848</v>
      </c>
      <c r="AS119">
        <v>-5742.7037462622102</v>
      </c>
      <c r="AU119">
        <v>1965.4034548856901</v>
      </c>
      <c r="AV119">
        <v>-7344.5419140539898</v>
      </c>
      <c r="AX119">
        <v>-1119.1736107654001</v>
      </c>
      <c r="AY119">
        <v>0</v>
      </c>
      <c r="AZ119">
        <v>-659.315159999927</v>
      </c>
      <c r="BA119">
        <v>-15834.612500000099</v>
      </c>
      <c r="BB119">
        <v>-928.86910943568705</v>
      </c>
      <c r="BC119">
        <v>331.55523892715098</v>
      </c>
      <c r="BE119">
        <f t="shared" si="2"/>
        <v>-122025.37661253427</v>
      </c>
      <c r="BF119">
        <f t="shared" si="3"/>
        <v>42482040.488160953</v>
      </c>
    </row>
    <row r="120" spans="1:58" x14ac:dyDescent="0.2">
      <c r="A120" s="1">
        <v>45352</v>
      </c>
      <c r="B120">
        <v>4096</v>
      </c>
      <c r="C120">
        <v>-3150</v>
      </c>
      <c r="E120">
        <v>-1983.4229979431</v>
      </c>
      <c r="F120">
        <v>638.12531036039195</v>
      </c>
      <c r="G120">
        <v>-3429.14238799549</v>
      </c>
      <c r="H120">
        <v>1290.1737510028699</v>
      </c>
      <c r="I120">
        <v>2894.27737513787</v>
      </c>
      <c r="J120">
        <v>-9912</v>
      </c>
      <c r="L120">
        <v>4644.3826893944797</v>
      </c>
      <c r="M120">
        <v>-2642.3999999999801</v>
      </c>
      <c r="N120">
        <v>-12784.805067311499</v>
      </c>
      <c r="O120">
        <v>-4011.66623023703</v>
      </c>
      <c r="P120">
        <v>-8261.7462325357301</v>
      </c>
      <c r="Q120">
        <v>3500</v>
      </c>
      <c r="R120">
        <v>2800</v>
      </c>
      <c r="T120">
        <v>-798</v>
      </c>
      <c r="U120">
        <v>2476.9149450909099</v>
      </c>
      <c r="V120">
        <v>-2722.3599436078798</v>
      </c>
      <c r="W120">
        <v>130.29435031080899</v>
      </c>
      <c r="X120">
        <v>-880</v>
      </c>
      <c r="Y120">
        <v>-4876.0984990266797</v>
      </c>
      <c r="Z120">
        <v>-4198.6687143058898</v>
      </c>
      <c r="AA120">
        <v>-3375.2817640592398</v>
      </c>
      <c r="AC120">
        <v>8921</v>
      </c>
      <c r="AD120">
        <v>-3621</v>
      </c>
      <c r="AE120">
        <v>-1800</v>
      </c>
      <c r="AF120">
        <v>-7350</v>
      </c>
      <c r="AG120">
        <v>6045.3413954989601</v>
      </c>
      <c r="AH120">
        <v>3008</v>
      </c>
      <c r="AI120">
        <v>-620.02572904060605</v>
      </c>
      <c r="AK120">
        <v>2666.1398146609599</v>
      </c>
      <c r="AL120">
        <v>0</v>
      </c>
      <c r="AM120">
        <v>1252.1835578525499</v>
      </c>
      <c r="AN120">
        <v>4492.4657554035703</v>
      </c>
      <c r="AP120">
        <v>1903</v>
      </c>
      <c r="AQ120">
        <v>-4015</v>
      </c>
      <c r="AR120">
        <v>28223.069711833301</v>
      </c>
      <c r="AS120">
        <v>2822</v>
      </c>
      <c r="AU120">
        <v>4664</v>
      </c>
      <c r="AV120">
        <v>10721</v>
      </c>
      <c r="AX120">
        <v>-28.594576861715598</v>
      </c>
      <c r="AY120">
        <v>0</v>
      </c>
      <c r="AZ120">
        <v>4231.7785999999296</v>
      </c>
      <c r="BA120">
        <v>19575.747966779501</v>
      </c>
      <c r="BB120">
        <v>-1938</v>
      </c>
      <c r="BC120">
        <v>8962.8872174485496</v>
      </c>
      <c r="BE120">
        <f t="shared" si="2"/>
        <v>47560.570297849801</v>
      </c>
      <c r="BF120">
        <f t="shared" si="3"/>
        <v>42529601.058458805</v>
      </c>
    </row>
    <row r="121" spans="1:58" x14ac:dyDescent="0.2">
      <c r="A121" s="1">
        <v>45355</v>
      </c>
      <c r="B121">
        <v>2505.0421685401102</v>
      </c>
      <c r="C121">
        <v>-6867</v>
      </c>
      <c r="E121">
        <v>-5347.2601032162302</v>
      </c>
      <c r="F121">
        <v>-5049.3672659431704</v>
      </c>
      <c r="G121">
        <v>1260.00000000004</v>
      </c>
      <c r="H121">
        <v>-2422.7302250498001</v>
      </c>
      <c r="I121">
        <v>97</v>
      </c>
      <c r="J121">
        <v>-6888</v>
      </c>
      <c r="L121">
        <v>1922.1143928021299</v>
      </c>
      <c r="M121">
        <v>-1458.27083922213</v>
      </c>
      <c r="N121">
        <v>-14006.678680500199</v>
      </c>
      <c r="O121">
        <v>403.54125811980799</v>
      </c>
      <c r="P121">
        <v>-10235.311494456701</v>
      </c>
      <c r="Q121">
        <v>1000</v>
      </c>
      <c r="R121">
        <v>-18480</v>
      </c>
      <c r="T121">
        <v>-1440</v>
      </c>
      <c r="U121">
        <v>1632.10137433659</v>
      </c>
      <c r="V121">
        <v>-4522.3536756174499</v>
      </c>
      <c r="W121">
        <v>1.3523714052304301</v>
      </c>
      <c r="X121">
        <v>-7540</v>
      </c>
      <c r="Y121">
        <v>5750</v>
      </c>
      <c r="Z121">
        <v>-395.97974842964999</v>
      </c>
      <c r="AA121">
        <v>-4309.8278592815204</v>
      </c>
      <c r="AC121">
        <v>16379</v>
      </c>
      <c r="AD121">
        <v>-1020</v>
      </c>
      <c r="AE121">
        <v>2808</v>
      </c>
      <c r="AF121">
        <v>-6675</v>
      </c>
      <c r="AG121">
        <v>-30264</v>
      </c>
      <c r="AH121">
        <v>3008</v>
      </c>
      <c r="AI121">
        <v>22806.126290292799</v>
      </c>
      <c r="AK121">
        <v>-1877.6535793667399</v>
      </c>
      <c r="AL121">
        <v>-497</v>
      </c>
      <c r="AM121">
        <v>26611.549140055198</v>
      </c>
      <c r="AN121">
        <v>20880.4899353209</v>
      </c>
      <c r="AP121">
        <v>-3979</v>
      </c>
      <c r="AQ121">
        <v>-7920</v>
      </c>
      <c r="AR121">
        <v>-10659.2866183653</v>
      </c>
      <c r="AS121">
        <v>-5372</v>
      </c>
      <c r="AU121">
        <v>-4664</v>
      </c>
      <c r="AV121">
        <v>-426</v>
      </c>
      <c r="AX121">
        <v>1248</v>
      </c>
      <c r="AY121">
        <v>-286.01267253449799</v>
      </c>
      <c r="AZ121">
        <v>413.27326933737203</v>
      </c>
      <c r="BA121">
        <v>412.94428000021099</v>
      </c>
      <c r="BB121">
        <v>-266</v>
      </c>
      <c r="BC121">
        <v>14204.2680935555</v>
      </c>
      <c r="BE121">
        <f t="shared" si="2"/>
        <v>-39525.930188217477</v>
      </c>
      <c r="BF121">
        <f t="shared" si="3"/>
        <v>42490075.128270589</v>
      </c>
    </row>
    <row r="122" spans="1:58" x14ac:dyDescent="0.2">
      <c r="A122" s="1">
        <v>45356</v>
      </c>
      <c r="B122">
        <v>-444.99667555491402</v>
      </c>
      <c r="C122">
        <v>-1371.64380605372</v>
      </c>
      <c r="E122">
        <v>1122</v>
      </c>
      <c r="F122">
        <v>-3334.3847945544098</v>
      </c>
      <c r="G122">
        <v>6649.99999999992</v>
      </c>
      <c r="H122">
        <v>-4429.2475025748499</v>
      </c>
      <c r="I122">
        <v>578</v>
      </c>
      <c r="J122">
        <v>5459.7440595030503</v>
      </c>
      <c r="L122">
        <v>5292</v>
      </c>
      <c r="M122">
        <v>-1443.31473447698</v>
      </c>
      <c r="N122">
        <v>-4491.3936618023299</v>
      </c>
      <c r="O122">
        <v>-4287.7467949626398</v>
      </c>
      <c r="P122">
        <v>9825.3454094358804</v>
      </c>
      <c r="Q122">
        <v>6000</v>
      </c>
      <c r="R122">
        <v>12693.7011078796</v>
      </c>
      <c r="T122">
        <v>-1518</v>
      </c>
      <c r="U122">
        <v>-4362.8585865745499</v>
      </c>
      <c r="V122">
        <v>-97.259599595473105</v>
      </c>
      <c r="W122">
        <v>126.40938686736401</v>
      </c>
      <c r="X122">
        <v>1130</v>
      </c>
      <c r="Y122">
        <v>-84.359545874719799</v>
      </c>
      <c r="Z122">
        <v>263.94612465207399</v>
      </c>
      <c r="AA122">
        <v>-142.212433186819</v>
      </c>
      <c r="AC122">
        <v>-8371</v>
      </c>
      <c r="AD122">
        <v>-34.927473237998697</v>
      </c>
      <c r="AE122">
        <v>-2808</v>
      </c>
      <c r="AF122">
        <v>20235.3655641189</v>
      </c>
      <c r="AG122">
        <v>-3507.2710248696999</v>
      </c>
      <c r="AH122">
        <v>-1888.00875459805</v>
      </c>
      <c r="AI122">
        <v>1730</v>
      </c>
      <c r="AK122">
        <v>-412.71564063416901</v>
      </c>
      <c r="AL122">
        <v>9940</v>
      </c>
      <c r="AM122">
        <v>-1608.83789529302</v>
      </c>
      <c r="AN122">
        <v>-1496.6584083994601</v>
      </c>
      <c r="AP122">
        <v>2937.5927276022499</v>
      </c>
      <c r="AQ122">
        <v>-581.76271663808905</v>
      </c>
      <c r="AR122">
        <v>2313.5847838959799</v>
      </c>
      <c r="AS122">
        <v>-255</v>
      </c>
      <c r="AU122">
        <v>4028</v>
      </c>
      <c r="AV122">
        <v>0</v>
      </c>
      <c r="AX122">
        <v>1971</v>
      </c>
      <c r="AY122">
        <v>0</v>
      </c>
      <c r="AZ122">
        <v>-471.50887773611902</v>
      </c>
      <c r="BA122">
        <v>-17343.659759999999</v>
      </c>
      <c r="BB122">
        <v>-684</v>
      </c>
      <c r="BC122">
        <v>158.468193984919</v>
      </c>
      <c r="BE122">
        <f t="shared" si="2"/>
        <v>26984.388671321922</v>
      </c>
      <c r="BF122">
        <f t="shared" si="3"/>
        <v>42517059.516941912</v>
      </c>
    </row>
    <row r="123" spans="1:58" x14ac:dyDescent="0.2">
      <c r="A123" s="1">
        <v>45357</v>
      </c>
      <c r="B123">
        <v>1863.53332381277</v>
      </c>
      <c r="C123">
        <v>-4109.7596865244896</v>
      </c>
      <c r="E123">
        <v>-5236</v>
      </c>
      <c r="F123">
        <v>324.90260847905898</v>
      </c>
      <c r="G123">
        <v>1312.35440863043</v>
      </c>
      <c r="H123">
        <v>3718.4608720000001</v>
      </c>
      <c r="I123">
        <v>-134</v>
      </c>
      <c r="J123">
        <v>2016</v>
      </c>
      <c r="L123">
        <v>-2499</v>
      </c>
      <c r="M123">
        <v>96.676722555650301</v>
      </c>
      <c r="N123">
        <v>-52.409977046788299</v>
      </c>
      <c r="O123">
        <v>6216.4705476120598</v>
      </c>
      <c r="P123">
        <v>-16268</v>
      </c>
      <c r="Q123">
        <v>2000</v>
      </c>
      <c r="R123">
        <v>4401</v>
      </c>
      <c r="T123">
        <v>660</v>
      </c>
      <c r="U123">
        <v>571.26900317509399</v>
      </c>
      <c r="V123">
        <v>0</v>
      </c>
      <c r="W123">
        <v>-7241.7635864959002</v>
      </c>
      <c r="X123">
        <v>2320</v>
      </c>
      <c r="Y123">
        <v>-6165.3615159553501</v>
      </c>
      <c r="Z123">
        <v>-566.44332245094097</v>
      </c>
      <c r="AA123">
        <v>-281.753860115804</v>
      </c>
      <c r="AC123">
        <v>-44220</v>
      </c>
      <c r="AD123">
        <v>-3785.8000396449402</v>
      </c>
      <c r="AE123">
        <v>2016</v>
      </c>
      <c r="AF123">
        <v>16330</v>
      </c>
      <c r="AG123">
        <v>-12492.88705399</v>
      </c>
      <c r="AH123">
        <v>-715</v>
      </c>
      <c r="AI123">
        <v>-5027.9602875391201</v>
      </c>
      <c r="AK123">
        <v>400.81072248059598</v>
      </c>
      <c r="AL123">
        <v>-1988</v>
      </c>
      <c r="AM123">
        <v>-6534.3933421787497</v>
      </c>
      <c r="AN123">
        <v>-3437.4854752472202</v>
      </c>
      <c r="AP123">
        <v>3420</v>
      </c>
      <c r="AQ123">
        <v>-1524.75667534272</v>
      </c>
      <c r="AR123">
        <v>2188.1740879589202</v>
      </c>
      <c r="AS123">
        <v>272</v>
      </c>
      <c r="AU123">
        <v>0</v>
      </c>
      <c r="AV123">
        <v>0</v>
      </c>
      <c r="AX123">
        <v>-52.353809654682898</v>
      </c>
      <c r="AY123">
        <v>0</v>
      </c>
      <c r="AZ123">
        <v>0</v>
      </c>
      <c r="BA123">
        <v>1156.6475623976301</v>
      </c>
      <c r="BB123">
        <v>3078</v>
      </c>
      <c r="BC123">
        <v>-6029.5818040132299</v>
      </c>
      <c r="BE123">
        <f t="shared" si="2"/>
        <v>-74000.410577097733</v>
      </c>
      <c r="BF123">
        <f t="shared" si="3"/>
        <v>42443059.106364816</v>
      </c>
    </row>
    <row r="124" spans="1:58" x14ac:dyDescent="0.2">
      <c r="A124" s="1">
        <v>45358</v>
      </c>
      <c r="B124">
        <v>-1874.22390431187</v>
      </c>
      <c r="C124">
        <v>142.97329412777199</v>
      </c>
      <c r="E124">
        <v>-8415</v>
      </c>
      <c r="F124">
        <v>-101.284320164787</v>
      </c>
      <c r="G124">
        <v>-3668.4900031950101</v>
      </c>
      <c r="H124">
        <v>22984.5225821616</v>
      </c>
      <c r="I124">
        <v>-507</v>
      </c>
      <c r="J124">
        <v>4416</v>
      </c>
      <c r="L124">
        <v>7203</v>
      </c>
      <c r="M124">
        <v>3370.5445918087798</v>
      </c>
      <c r="N124">
        <v>3018.5858734902399</v>
      </c>
      <c r="O124">
        <v>-3526.00000000001</v>
      </c>
      <c r="P124">
        <v>6437.7288967501599</v>
      </c>
      <c r="Q124">
        <v>-1000</v>
      </c>
      <c r="R124">
        <v>7824</v>
      </c>
      <c r="T124">
        <v>3624</v>
      </c>
      <c r="U124">
        <v>-7967.1899019979201</v>
      </c>
      <c r="V124">
        <v>-22.088410555978498</v>
      </c>
      <c r="W124">
        <v>-3235.2559345804202</v>
      </c>
      <c r="X124">
        <v>840</v>
      </c>
      <c r="Y124">
        <v>2958</v>
      </c>
      <c r="Z124">
        <v>-2779.6647160745601</v>
      </c>
      <c r="AA124">
        <v>48.858325405934202</v>
      </c>
      <c r="AC124">
        <v>10331.2908942593</v>
      </c>
      <c r="AD124">
        <v>-579.98102105399801</v>
      </c>
      <c r="AE124">
        <v>-1512</v>
      </c>
      <c r="AF124">
        <v>1562</v>
      </c>
      <c r="AG124">
        <v>2993.4772129642402</v>
      </c>
      <c r="AH124">
        <v>7722</v>
      </c>
      <c r="AI124">
        <v>10676.2618759911</v>
      </c>
      <c r="AK124">
        <v>-771.00303510887795</v>
      </c>
      <c r="AL124">
        <v>-2485</v>
      </c>
      <c r="AM124">
        <v>1451.25521080318</v>
      </c>
      <c r="AN124">
        <v>3464.2888280574398</v>
      </c>
      <c r="AP124">
        <v>-3933</v>
      </c>
      <c r="AQ124">
        <v>1736.4182793897101</v>
      </c>
      <c r="AR124">
        <v>17680</v>
      </c>
      <c r="AS124">
        <v>-1904</v>
      </c>
      <c r="AU124">
        <v>-3498</v>
      </c>
      <c r="AV124">
        <v>0</v>
      </c>
      <c r="AX124">
        <v>-1029.4155072984699</v>
      </c>
      <c r="AY124">
        <v>0</v>
      </c>
      <c r="AZ124">
        <v>0</v>
      </c>
      <c r="BA124">
        <v>-15775.064582548899</v>
      </c>
      <c r="BB124">
        <v>-1710</v>
      </c>
      <c r="BC124">
        <v>-1908</v>
      </c>
      <c r="BE124">
        <f t="shared" si="2"/>
        <v>52283.544528318664</v>
      </c>
      <c r="BF124">
        <f t="shared" si="3"/>
        <v>42495342.650893137</v>
      </c>
    </row>
    <row r="125" spans="1:58" x14ac:dyDescent="0.2">
      <c r="A125" s="1">
        <v>45359</v>
      </c>
      <c r="B125">
        <v>-11.6415589318232</v>
      </c>
      <c r="C125">
        <v>-52.4459829325233</v>
      </c>
      <c r="E125">
        <v>-32.2385790360185</v>
      </c>
      <c r="F125">
        <v>-146.97944022601101</v>
      </c>
      <c r="G125">
        <v>0</v>
      </c>
      <c r="H125">
        <v>0</v>
      </c>
      <c r="I125">
        <v>0</v>
      </c>
      <c r="J125">
        <v>0</v>
      </c>
      <c r="L125">
        <v>0</v>
      </c>
      <c r="M125">
        <v>-21.310649324744901</v>
      </c>
      <c r="N125">
        <v>-25.830486136662401</v>
      </c>
      <c r="O125">
        <v>-29.098071627785799</v>
      </c>
      <c r="P125">
        <v>-12.9181059257334</v>
      </c>
      <c r="Q125">
        <v>-8.2027299491443202</v>
      </c>
      <c r="R125">
        <v>-31.111353930029399</v>
      </c>
      <c r="T125">
        <v>0</v>
      </c>
      <c r="U125">
        <v>0</v>
      </c>
      <c r="V125">
        <v>0</v>
      </c>
      <c r="W125">
        <v>-109.555015144319</v>
      </c>
      <c r="X125">
        <v>0</v>
      </c>
      <c r="Y125">
        <v>0</v>
      </c>
      <c r="Z125">
        <v>-136.579979309404</v>
      </c>
      <c r="AA125">
        <v>-12.1939556072925</v>
      </c>
      <c r="AC125">
        <v>0</v>
      </c>
      <c r="AD125">
        <v>-34.509334159448599</v>
      </c>
      <c r="AE125">
        <v>0</v>
      </c>
      <c r="AF125">
        <v>0</v>
      </c>
      <c r="AG125">
        <v>0</v>
      </c>
      <c r="AH125">
        <v>-99.691477145898205</v>
      </c>
      <c r="AI125">
        <v>-13.590568936620199</v>
      </c>
      <c r="AK125">
        <v>-27.4508739574026</v>
      </c>
      <c r="AL125">
        <v>-16.1365616383986</v>
      </c>
      <c r="AM125">
        <v>-25.385636433797799</v>
      </c>
      <c r="AN125">
        <v>-11.519582479263301</v>
      </c>
      <c r="AP125">
        <v>0</v>
      </c>
      <c r="AQ125">
        <v>-2.8598736869123198</v>
      </c>
      <c r="AR125">
        <v>0</v>
      </c>
      <c r="AS125">
        <v>0</v>
      </c>
      <c r="AU125">
        <v>0</v>
      </c>
      <c r="AV125">
        <v>0</v>
      </c>
      <c r="AX125">
        <v>-9.3769662831329494</v>
      </c>
      <c r="AY125">
        <v>0</v>
      </c>
      <c r="AZ125">
        <v>0</v>
      </c>
      <c r="BA125">
        <v>-505.85761016689298</v>
      </c>
      <c r="BB125">
        <v>0</v>
      </c>
      <c r="BC125">
        <v>0</v>
      </c>
      <c r="BE125">
        <f t="shared" si="2"/>
        <v>-1376.4843929692593</v>
      </c>
      <c r="BF125">
        <f t="shared" si="3"/>
        <v>42493966.166500166</v>
      </c>
    </row>
    <row r="126" spans="1:58" x14ac:dyDescent="0.2">
      <c r="A126" s="1">
        <v>45362</v>
      </c>
      <c r="B126">
        <v>3306.1979228473001</v>
      </c>
      <c r="C126">
        <v>201.18270047317</v>
      </c>
      <c r="E126">
        <v>7813.12684115107</v>
      </c>
      <c r="F126">
        <v>-275</v>
      </c>
      <c r="G126">
        <v>-102.026658502413</v>
      </c>
      <c r="H126">
        <v>-18416.774141999998</v>
      </c>
      <c r="I126">
        <v>349</v>
      </c>
      <c r="J126">
        <v>6864</v>
      </c>
      <c r="L126">
        <v>8526</v>
      </c>
      <c r="M126">
        <v>7657.9809481318598</v>
      </c>
      <c r="N126">
        <v>9183.8291600000593</v>
      </c>
      <c r="O126">
        <v>1479.99999999996</v>
      </c>
      <c r="P126">
        <v>1008</v>
      </c>
      <c r="Q126">
        <v>-1020</v>
      </c>
      <c r="R126">
        <v>-5511</v>
      </c>
      <c r="T126">
        <v>186</v>
      </c>
      <c r="U126">
        <v>13653</v>
      </c>
      <c r="V126">
        <v>-850</v>
      </c>
      <c r="W126">
        <v>-147</v>
      </c>
      <c r="X126">
        <v>-5170</v>
      </c>
      <c r="Y126">
        <v>2030</v>
      </c>
      <c r="Z126">
        <v>1700</v>
      </c>
      <c r="AA126">
        <v>-1035.00000000001</v>
      </c>
      <c r="AC126">
        <v>-9848</v>
      </c>
      <c r="AD126">
        <v>-1740</v>
      </c>
      <c r="AE126">
        <v>4896</v>
      </c>
      <c r="AF126">
        <v>5467</v>
      </c>
      <c r="AG126">
        <v>-64</v>
      </c>
      <c r="AH126">
        <v>16044</v>
      </c>
      <c r="AI126">
        <v>-14865.110558841299</v>
      </c>
      <c r="AK126">
        <v>-13.731665505933799</v>
      </c>
      <c r="AL126">
        <v>11095.927659251</v>
      </c>
      <c r="AM126">
        <v>6528</v>
      </c>
      <c r="AN126">
        <v>5226</v>
      </c>
      <c r="AP126">
        <v>-15219</v>
      </c>
      <c r="AQ126">
        <v>-954.54659978133895</v>
      </c>
      <c r="AR126">
        <v>-3264</v>
      </c>
      <c r="AS126">
        <v>7973</v>
      </c>
      <c r="AU126">
        <v>-4134</v>
      </c>
      <c r="AV126">
        <v>0</v>
      </c>
      <c r="AX126">
        <v>2192</v>
      </c>
      <c r="AY126">
        <v>3219.9648000003599</v>
      </c>
      <c r="AZ126">
        <v>-7830.3179999999302</v>
      </c>
      <c r="BA126">
        <v>-11577.4980000002</v>
      </c>
      <c r="BB126">
        <v>1748</v>
      </c>
      <c r="BC126">
        <v>-2332</v>
      </c>
      <c r="BE126">
        <f t="shared" si="2"/>
        <v>23979.204407223657</v>
      </c>
      <c r="BF126">
        <f t="shared" si="3"/>
        <v>42517945.370907389</v>
      </c>
    </row>
    <row r="127" spans="1:58" x14ac:dyDescent="0.2">
      <c r="A127" s="1">
        <v>45363</v>
      </c>
      <c r="B127">
        <v>23844.912123043599</v>
      </c>
      <c r="C127">
        <v>-55.321278551359597</v>
      </c>
      <c r="E127">
        <v>2160</v>
      </c>
      <c r="F127">
        <v>852.05707084074095</v>
      </c>
      <c r="G127">
        <v>-15300</v>
      </c>
      <c r="H127">
        <v>22539.932531999999</v>
      </c>
      <c r="I127">
        <v>-1043</v>
      </c>
      <c r="J127">
        <v>-127.221625346792</v>
      </c>
      <c r="L127">
        <v>-26166</v>
      </c>
      <c r="M127">
        <v>992.95856739657302</v>
      </c>
      <c r="N127">
        <v>-7649.2351529718298</v>
      </c>
      <c r="O127">
        <v>-3519.99999999989</v>
      </c>
      <c r="P127">
        <v>7619.1452584520603</v>
      </c>
      <c r="Q127">
        <v>5100</v>
      </c>
      <c r="R127">
        <v>13527</v>
      </c>
      <c r="T127">
        <v>-870</v>
      </c>
      <c r="U127">
        <v>4916.2960656332698</v>
      </c>
      <c r="V127">
        <v>2253.0753446096301</v>
      </c>
      <c r="W127">
        <v>275.07291261147299</v>
      </c>
      <c r="X127">
        <v>-12810</v>
      </c>
      <c r="Y127">
        <v>9280</v>
      </c>
      <c r="Z127">
        <v>-1230.82742163628</v>
      </c>
      <c r="AA127">
        <v>3152.6428369445598</v>
      </c>
      <c r="AC127">
        <v>-22094.525188561602</v>
      </c>
      <c r="AD127">
        <v>-242.94144842864901</v>
      </c>
      <c r="AE127">
        <v>-2190.2635542153998</v>
      </c>
      <c r="AF127">
        <v>3266</v>
      </c>
      <c r="AG127">
        <v>-389</v>
      </c>
      <c r="AH127">
        <v>7003.5002218457403</v>
      </c>
      <c r="AI127">
        <v>-1568</v>
      </c>
      <c r="AK127">
        <v>-3189.9218612251302</v>
      </c>
      <c r="AL127">
        <v>-13882.301005325</v>
      </c>
      <c r="AM127">
        <v>538.21573969663098</v>
      </c>
      <c r="AN127">
        <v>1466.38113399398</v>
      </c>
      <c r="AP127">
        <v>3543.9104652594401</v>
      </c>
      <c r="AQ127">
        <v>1903.7115837717699</v>
      </c>
      <c r="AR127">
        <v>4352</v>
      </c>
      <c r="AS127">
        <v>-4641</v>
      </c>
      <c r="AU127">
        <v>1612.09829026081</v>
      </c>
      <c r="AV127">
        <v>0</v>
      </c>
      <c r="AX127">
        <v>-8225.3885983555701</v>
      </c>
      <c r="AY127">
        <v>1641.7632733549301</v>
      </c>
      <c r="AZ127">
        <v>1387.38167247712</v>
      </c>
      <c r="BA127">
        <v>12522.292850471</v>
      </c>
      <c r="BB127">
        <v>2991.0371898442299</v>
      </c>
      <c r="BC127">
        <v>-636</v>
      </c>
      <c r="BE127">
        <f t="shared" si="2"/>
        <v>12910.437997890056</v>
      </c>
      <c r="BF127">
        <f t="shared" si="3"/>
        <v>42530855.808905281</v>
      </c>
    </row>
    <row r="128" spans="1:58" x14ac:dyDescent="0.2">
      <c r="A128" s="1">
        <v>45364</v>
      </c>
      <c r="B128">
        <v>28808</v>
      </c>
      <c r="C128">
        <v>-301.48174903422603</v>
      </c>
      <c r="E128">
        <v>-180</v>
      </c>
      <c r="F128">
        <v>-622.40464529882399</v>
      </c>
      <c r="G128">
        <v>7210.0027917426396</v>
      </c>
      <c r="H128">
        <v>10747.858914</v>
      </c>
      <c r="I128">
        <v>-134.35724134962601</v>
      </c>
      <c r="J128">
        <v>-3494.2828596852</v>
      </c>
      <c r="L128">
        <v>18935.1607281775</v>
      </c>
      <c r="M128">
        <v>6529.9357022495396</v>
      </c>
      <c r="N128">
        <v>3760.9457999998699</v>
      </c>
      <c r="O128">
        <v>-5391.9801220503596</v>
      </c>
      <c r="P128">
        <v>-6390</v>
      </c>
      <c r="Q128">
        <v>-2088.6683441086002</v>
      </c>
      <c r="R128">
        <v>10400.291940720001</v>
      </c>
      <c r="T128">
        <v>-648</v>
      </c>
      <c r="U128">
        <v>-6264.7914229545004</v>
      </c>
      <c r="V128">
        <v>-3221.8930131330899</v>
      </c>
      <c r="W128">
        <v>-1222.78531382953</v>
      </c>
      <c r="X128">
        <v>5472.8853169589502</v>
      </c>
      <c r="Y128">
        <v>2890.7361685748201</v>
      </c>
      <c r="Z128">
        <v>-3276</v>
      </c>
      <c r="AA128">
        <v>-2418.8142872636399</v>
      </c>
      <c r="AC128">
        <v>8410.2090054294094</v>
      </c>
      <c r="AD128">
        <v>-17.048047616808201</v>
      </c>
      <c r="AE128">
        <v>2093</v>
      </c>
      <c r="AF128">
        <v>-2769</v>
      </c>
      <c r="AG128">
        <v>-860</v>
      </c>
      <c r="AH128">
        <v>1635.1580781994601</v>
      </c>
      <c r="AI128">
        <v>10780</v>
      </c>
      <c r="AK128">
        <v>-1699.2225000000001</v>
      </c>
      <c r="AL128">
        <v>-18394</v>
      </c>
      <c r="AM128">
        <v>-5531.6565028219102</v>
      </c>
      <c r="AN128">
        <v>-8640.1952615114005</v>
      </c>
      <c r="AP128">
        <v>-5296.03269697015</v>
      </c>
      <c r="AQ128">
        <v>119</v>
      </c>
      <c r="AR128">
        <v>-3808</v>
      </c>
      <c r="AS128">
        <v>6188</v>
      </c>
      <c r="AU128">
        <v>765</v>
      </c>
      <c r="AV128">
        <v>0</v>
      </c>
      <c r="AX128">
        <v>1798.94091659837</v>
      </c>
      <c r="AY128">
        <v>0</v>
      </c>
      <c r="AZ128">
        <v>-700.32768587418298</v>
      </c>
      <c r="BA128">
        <v>-4940.38400000007</v>
      </c>
      <c r="BB128">
        <v>-151.99363639957099</v>
      </c>
      <c r="BC128">
        <v>10176</v>
      </c>
      <c r="BE128">
        <f t="shared" si="2"/>
        <v>48257.806032748871</v>
      </c>
      <c r="BF128">
        <f t="shared" si="3"/>
        <v>42579113.614938028</v>
      </c>
    </row>
    <row r="129" spans="1:58" x14ac:dyDescent="0.2">
      <c r="A129" s="1">
        <v>45365</v>
      </c>
      <c r="B129">
        <v>-17368</v>
      </c>
      <c r="C129">
        <v>-2795.0889640950199</v>
      </c>
      <c r="E129">
        <v>-7380</v>
      </c>
      <c r="F129">
        <v>0</v>
      </c>
      <c r="G129">
        <v>-851.99999999990598</v>
      </c>
      <c r="H129">
        <v>-4867.9770171432101</v>
      </c>
      <c r="I129">
        <v>-741.53252220283503</v>
      </c>
      <c r="J129">
        <v>10354</v>
      </c>
      <c r="L129">
        <v>5808</v>
      </c>
      <c r="M129">
        <v>-2723.94518673516</v>
      </c>
      <c r="N129">
        <v>-7952.1575000000003</v>
      </c>
      <c r="O129">
        <v>245.82397104337099</v>
      </c>
      <c r="P129">
        <v>10579</v>
      </c>
      <c r="Q129">
        <v>-8.0793578335493201</v>
      </c>
      <c r="R129">
        <v>-8322.4355892451495</v>
      </c>
      <c r="T129">
        <v>-1938</v>
      </c>
      <c r="U129">
        <v>-15428</v>
      </c>
      <c r="V129">
        <v>-6450</v>
      </c>
      <c r="W129">
        <v>-51.487247685729699</v>
      </c>
      <c r="X129">
        <v>-1880</v>
      </c>
      <c r="Y129">
        <v>-11018.9840341002</v>
      </c>
      <c r="Z129">
        <v>752.88834823097102</v>
      </c>
      <c r="AA129">
        <v>-5940.99999999997</v>
      </c>
      <c r="AC129">
        <v>4840</v>
      </c>
      <c r="AD129">
        <v>2686.6595965541801</v>
      </c>
      <c r="AE129">
        <v>-754.70691277155697</v>
      </c>
      <c r="AF129">
        <v>-15194</v>
      </c>
      <c r="AG129">
        <v>359.73918524285699</v>
      </c>
      <c r="AH129">
        <v>-5444.35769050623</v>
      </c>
      <c r="AI129">
        <v>-7461.5498200227303</v>
      </c>
      <c r="AK129">
        <v>-7156.94175</v>
      </c>
      <c r="AL129">
        <v>5319.73267008528</v>
      </c>
      <c r="AM129">
        <v>-22622.587045950499</v>
      </c>
      <c r="AN129">
        <v>-23506</v>
      </c>
      <c r="AP129">
        <v>11708.0268556595</v>
      </c>
      <c r="AQ129">
        <v>665</v>
      </c>
      <c r="AR129">
        <v>16320</v>
      </c>
      <c r="AS129">
        <v>1998.6150204657599</v>
      </c>
      <c r="AU129">
        <v>935</v>
      </c>
      <c r="AV129">
        <v>0</v>
      </c>
      <c r="AX129">
        <v>-1344</v>
      </c>
      <c r="AY129">
        <v>0</v>
      </c>
      <c r="AZ129">
        <v>0</v>
      </c>
      <c r="BA129">
        <v>9530.6750000001193</v>
      </c>
      <c r="BB129">
        <v>5526.1170620863804</v>
      </c>
      <c r="BC129">
        <v>-8745.2747721947999</v>
      </c>
      <c r="BE129">
        <f t="shared" si="2"/>
        <v>-100318.82770111811</v>
      </c>
      <c r="BF129">
        <f t="shared" si="3"/>
        <v>42478794.787236907</v>
      </c>
    </row>
    <row r="130" spans="1:58" x14ac:dyDescent="0.2">
      <c r="A130" s="1">
        <v>45366</v>
      </c>
      <c r="B130">
        <v>-2339.0189700158999</v>
      </c>
      <c r="C130">
        <v>-1088</v>
      </c>
      <c r="D130">
        <v>0</v>
      </c>
      <c r="E130">
        <v>17222.179940421702</v>
      </c>
      <c r="F130">
        <v>2816</v>
      </c>
      <c r="G130">
        <v>-11076</v>
      </c>
      <c r="H130">
        <v>-7628.2305659999902</v>
      </c>
      <c r="I130">
        <v>4244</v>
      </c>
      <c r="J130">
        <v>-4794.6376586402603</v>
      </c>
      <c r="L130">
        <v>24156</v>
      </c>
      <c r="M130">
        <v>16663.5</v>
      </c>
      <c r="N130">
        <v>5858.8736000000799</v>
      </c>
      <c r="O130">
        <v>-2782.76879306724</v>
      </c>
      <c r="P130">
        <v>8094</v>
      </c>
      <c r="Q130">
        <v>9280</v>
      </c>
      <c r="R130">
        <v>0</v>
      </c>
      <c r="T130">
        <v>-3990</v>
      </c>
      <c r="U130">
        <v>-1198.85179695688</v>
      </c>
      <c r="V130">
        <v>-1575</v>
      </c>
      <c r="W130">
        <v>4733.0598949048899</v>
      </c>
      <c r="X130">
        <v>-1991.38349238672</v>
      </c>
      <c r="Y130">
        <v>11016</v>
      </c>
      <c r="Z130">
        <v>-706.80581937987495</v>
      </c>
      <c r="AA130">
        <v>-1416.99999999995</v>
      </c>
      <c r="AC130">
        <v>-495</v>
      </c>
      <c r="AD130">
        <v>-7004</v>
      </c>
      <c r="AE130">
        <v>-4992</v>
      </c>
      <c r="AF130">
        <v>2982</v>
      </c>
      <c r="AG130">
        <v>0</v>
      </c>
      <c r="AH130">
        <v>-2149</v>
      </c>
      <c r="AI130">
        <v>67568</v>
      </c>
      <c r="AK130">
        <v>-8925.6277499999997</v>
      </c>
      <c r="AL130">
        <v>26763.870894733202</v>
      </c>
      <c r="AM130">
        <v>11915.446992844099</v>
      </c>
      <c r="AN130">
        <v>8821.6125010559099</v>
      </c>
      <c r="AP130">
        <v>-109</v>
      </c>
      <c r="AQ130">
        <v>-363.11972185877698</v>
      </c>
      <c r="AR130">
        <v>-3808</v>
      </c>
      <c r="AS130">
        <v>357.77827537784799</v>
      </c>
      <c r="AT130">
        <v>0</v>
      </c>
      <c r="AU130">
        <v>-85</v>
      </c>
      <c r="AV130">
        <v>0</v>
      </c>
      <c r="AW130">
        <v>0</v>
      </c>
      <c r="AX130">
        <v>-6456.7428628072003</v>
      </c>
      <c r="AY130">
        <v>-8666.8975800001299</v>
      </c>
      <c r="AZ130">
        <v>0</v>
      </c>
      <c r="BA130">
        <v>19119.715999999898</v>
      </c>
      <c r="BB130">
        <v>4398.2993580293896</v>
      </c>
      <c r="BC130">
        <v>8658</v>
      </c>
      <c r="BE130">
        <f t="shared" si="2"/>
        <v>171026.25244625408</v>
      </c>
      <c r="BF130">
        <f t="shared" si="3"/>
        <v>42649821.039683163</v>
      </c>
    </row>
    <row r="131" spans="1:58" x14ac:dyDescent="0.2">
      <c r="A131" s="1">
        <v>45369</v>
      </c>
      <c r="B131">
        <v>-2967.0729720002901</v>
      </c>
      <c r="C131">
        <v>1068.4011754293999</v>
      </c>
      <c r="D131">
        <v>0</v>
      </c>
      <c r="E131">
        <v>3078</v>
      </c>
      <c r="F131">
        <v>452.12811743393303</v>
      </c>
      <c r="G131">
        <v>8909.6379117027409</v>
      </c>
      <c r="H131">
        <v>2678.244522</v>
      </c>
      <c r="I131">
        <v>-4126.8389379149603</v>
      </c>
      <c r="J131">
        <v>-14076</v>
      </c>
      <c r="L131">
        <v>29941.630842257498</v>
      </c>
      <c r="M131">
        <v>-11030.562860133099</v>
      </c>
      <c r="N131">
        <v>-4317.8900000000403</v>
      </c>
      <c r="O131">
        <v>2764.8092552855501</v>
      </c>
      <c r="P131">
        <v>4118.7738021636296</v>
      </c>
      <c r="Q131">
        <v>-3528.1993098635198</v>
      </c>
      <c r="R131">
        <v>1176</v>
      </c>
      <c r="T131">
        <v>2716.4511598805102</v>
      </c>
      <c r="U131">
        <v>2623.39885795076</v>
      </c>
      <c r="V131">
        <v>-1746.74541650325</v>
      </c>
      <c r="W131">
        <v>-493.67420302921602</v>
      </c>
      <c r="X131">
        <v>1432.6888512164101</v>
      </c>
      <c r="Y131">
        <v>-10438</v>
      </c>
      <c r="Z131">
        <v>-1209.6567666962201</v>
      </c>
      <c r="AA131">
        <v>-997.63366034641103</v>
      </c>
      <c r="AC131">
        <v>-2390</v>
      </c>
      <c r="AD131">
        <v>6084.3908412425599</v>
      </c>
      <c r="AE131">
        <v>6720</v>
      </c>
      <c r="AF131">
        <v>-3621</v>
      </c>
      <c r="AG131">
        <v>0</v>
      </c>
      <c r="AH131">
        <v>24253</v>
      </c>
      <c r="AI131">
        <v>17644.327802866901</v>
      </c>
      <c r="AK131">
        <v>7481.9518784435304</v>
      </c>
      <c r="AL131">
        <v>-5346</v>
      </c>
      <c r="AM131">
        <v>16590</v>
      </c>
      <c r="AN131">
        <v>31426.1806897223</v>
      </c>
      <c r="AP131">
        <v>3374.0080875020799</v>
      </c>
      <c r="AQ131">
        <v>-988</v>
      </c>
      <c r="AR131">
        <v>3250.7722617418499</v>
      </c>
      <c r="AS131">
        <v>-2435.07334285769</v>
      </c>
      <c r="AT131">
        <v>0</v>
      </c>
      <c r="AU131">
        <v>0</v>
      </c>
      <c r="AV131">
        <v>0</v>
      </c>
      <c r="AW131">
        <v>0</v>
      </c>
      <c r="AX131">
        <v>3527.66994278018</v>
      </c>
      <c r="AY131">
        <v>-1022.40396504941</v>
      </c>
      <c r="AZ131">
        <v>30103.0536399999</v>
      </c>
      <c r="BA131">
        <v>-5296.8034573821096</v>
      </c>
      <c r="BB131">
        <v>-4030.7896829306701</v>
      </c>
      <c r="BC131">
        <v>28548</v>
      </c>
      <c r="BE131">
        <f t="shared" ref="BE131:BE194" si="4">SUM(B131:BD131)</f>
        <v>159901.17506491282</v>
      </c>
      <c r="BF131">
        <f t="shared" ref="BF131:BF194" si="5">BF130+BE131</f>
        <v>42809722.214748077</v>
      </c>
    </row>
    <row r="132" spans="1:58" x14ac:dyDescent="0.2">
      <c r="A132" s="1">
        <v>45370</v>
      </c>
      <c r="B132">
        <v>1996.3306014628099</v>
      </c>
      <c r="C132">
        <v>-195.421989508851</v>
      </c>
      <c r="D132">
        <v>0</v>
      </c>
      <c r="E132">
        <v>-4580.0387399424299</v>
      </c>
      <c r="F132">
        <v>1416.4340713946999</v>
      </c>
      <c r="G132">
        <v>-2951.99999999996</v>
      </c>
      <c r="H132">
        <v>11699.699753999999</v>
      </c>
      <c r="I132">
        <v>-217</v>
      </c>
      <c r="J132">
        <v>24813.066433741398</v>
      </c>
      <c r="L132">
        <v>9786.4265890561892</v>
      </c>
      <c r="M132">
        <v>1858.19999999994</v>
      </c>
      <c r="N132">
        <v>-1653.6599999999501</v>
      </c>
      <c r="O132">
        <v>-496.00000000000898</v>
      </c>
      <c r="P132">
        <v>17448.470828760001</v>
      </c>
      <c r="Q132">
        <v>4480</v>
      </c>
      <c r="R132">
        <v>8820</v>
      </c>
      <c r="T132">
        <v>1836</v>
      </c>
      <c r="U132">
        <v>-16605</v>
      </c>
      <c r="V132">
        <v>2800</v>
      </c>
      <c r="W132">
        <v>3093.2523204260001</v>
      </c>
      <c r="X132">
        <v>-2754</v>
      </c>
      <c r="Y132">
        <v>-5610</v>
      </c>
      <c r="Z132">
        <v>-1910.44775398294</v>
      </c>
      <c r="AA132">
        <v>2605.9927405558601</v>
      </c>
      <c r="AC132">
        <v>15635</v>
      </c>
      <c r="AD132">
        <v>-731.43500322287503</v>
      </c>
      <c r="AE132">
        <v>2400</v>
      </c>
      <c r="AF132">
        <v>994</v>
      </c>
      <c r="AG132">
        <v>0</v>
      </c>
      <c r="AH132">
        <v>17806</v>
      </c>
      <c r="AI132">
        <v>16362</v>
      </c>
      <c r="AK132">
        <v>-918.7</v>
      </c>
      <c r="AL132">
        <v>21870</v>
      </c>
      <c r="AM132">
        <v>136710</v>
      </c>
      <c r="AN132">
        <v>133860</v>
      </c>
      <c r="AP132">
        <v>3977.28190783543</v>
      </c>
      <c r="AQ132">
        <v>5282</v>
      </c>
      <c r="AR132">
        <v>16694.473696286499</v>
      </c>
      <c r="AS132">
        <v>12813.4414773504</v>
      </c>
      <c r="AT132">
        <v>0</v>
      </c>
      <c r="AU132">
        <v>680</v>
      </c>
      <c r="AV132">
        <v>0</v>
      </c>
      <c r="AW132">
        <v>0</v>
      </c>
      <c r="AX132">
        <v>950</v>
      </c>
      <c r="AY132">
        <v>-276.80856000319</v>
      </c>
      <c r="AZ132">
        <v>1756.6724749530599</v>
      </c>
      <c r="BA132">
        <v>30562.2258344127</v>
      </c>
      <c r="BB132">
        <v>8250</v>
      </c>
      <c r="BC132">
        <v>23634</v>
      </c>
      <c r="BE132">
        <f t="shared" si="4"/>
        <v>503990.45668357483</v>
      </c>
      <c r="BF132">
        <f t="shared" si="5"/>
        <v>43313712.671431653</v>
      </c>
    </row>
    <row r="133" spans="1:58" x14ac:dyDescent="0.2">
      <c r="A133" s="1">
        <v>45371</v>
      </c>
      <c r="B133">
        <v>-4296.3232298718203</v>
      </c>
      <c r="C133">
        <v>5340.8536172905397</v>
      </c>
      <c r="D133">
        <v>-8.18754864565223</v>
      </c>
      <c r="E133">
        <v>2880</v>
      </c>
      <c r="F133">
        <v>-2785.0266915652801</v>
      </c>
      <c r="G133">
        <v>-650.06971696393998</v>
      </c>
      <c r="H133">
        <v>-33.931030599301202</v>
      </c>
      <c r="I133">
        <v>1314.5039443062401</v>
      </c>
      <c r="J133">
        <v>-10494</v>
      </c>
      <c r="L133">
        <v>134.04438414376301</v>
      </c>
      <c r="M133">
        <v>4417.3000000000502</v>
      </c>
      <c r="N133">
        <v>1471.72639999991</v>
      </c>
      <c r="O133">
        <v>1599.99999999999</v>
      </c>
      <c r="P133">
        <v>15486.9517307722</v>
      </c>
      <c r="Q133">
        <v>-48681.780469160498</v>
      </c>
      <c r="R133">
        <v>12289.9521110034</v>
      </c>
      <c r="T133">
        <v>436</v>
      </c>
      <c r="U133">
        <v>-14448.897598224599</v>
      </c>
      <c r="V133">
        <v>2000</v>
      </c>
      <c r="W133">
        <v>5014.6350806742303</v>
      </c>
      <c r="X133">
        <v>4296.6886880227803</v>
      </c>
      <c r="Y133">
        <v>9117.8282800775105</v>
      </c>
      <c r="Z133">
        <v>118.88379537987799</v>
      </c>
      <c r="AA133">
        <v>1376.99999999998</v>
      </c>
      <c r="AC133">
        <v>11320</v>
      </c>
      <c r="AD133">
        <v>3098.05482827984</v>
      </c>
      <c r="AE133">
        <v>539.79868918720899</v>
      </c>
      <c r="AF133">
        <v>-11005</v>
      </c>
      <c r="AG133">
        <v>0</v>
      </c>
      <c r="AH133">
        <v>614</v>
      </c>
      <c r="AI133">
        <v>15876</v>
      </c>
      <c r="AK133">
        <v>1655.6922</v>
      </c>
      <c r="AL133">
        <v>14047.902126716301</v>
      </c>
      <c r="AM133">
        <v>7620.4188100987103</v>
      </c>
      <c r="AN133">
        <v>500.00150425855998</v>
      </c>
      <c r="AP133">
        <v>20971.554220003301</v>
      </c>
      <c r="AQ133">
        <v>3421.7133012691902</v>
      </c>
      <c r="AR133">
        <v>12388.871928402599</v>
      </c>
      <c r="AS133">
        <v>11890.3275918534</v>
      </c>
      <c r="AT133">
        <v>0</v>
      </c>
      <c r="AU133">
        <v>453.663217420303</v>
      </c>
      <c r="AV133">
        <v>13632</v>
      </c>
      <c r="AW133">
        <v>279.007412195033</v>
      </c>
      <c r="AX133">
        <v>130</v>
      </c>
      <c r="AY133">
        <v>0</v>
      </c>
      <c r="AZ133">
        <v>7483.2646484321604</v>
      </c>
      <c r="BA133">
        <v>12570.959958834799</v>
      </c>
      <c r="BB133">
        <v>2548.9122800097598</v>
      </c>
      <c r="BC133">
        <v>38610</v>
      </c>
      <c r="BE133">
        <f t="shared" si="4"/>
        <v>154545.29446360056</v>
      </c>
      <c r="BF133">
        <f t="shared" si="5"/>
        <v>43468257.96589525</v>
      </c>
    </row>
    <row r="134" spans="1:58" x14ac:dyDescent="0.2">
      <c r="A134" s="1">
        <v>45372</v>
      </c>
      <c r="B134">
        <v>29581.477610710201</v>
      </c>
      <c r="C134">
        <v>-1150.1714451804701</v>
      </c>
      <c r="D134">
        <v>-168.59677480539</v>
      </c>
      <c r="E134">
        <v>10483.699944091801</v>
      </c>
      <c r="F134">
        <v>-3168</v>
      </c>
      <c r="G134">
        <v>975.68899584411099</v>
      </c>
      <c r="H134">
        <v>24661.404531673601</v>
      </c>
      <c r="I134">
        <v>-1824</v>
      </c>
      <c r="J134">
        <v>21978</v>
      </c>
      <c r="L134">
        <v>-6939.2274082254798</v>
      </c>
      <c r="M134">
        <v>6780.8000000000502</v>
      </c>
      <c r="N134">
        <v>9887.5692918672394</v>
      </c>
      <c r="O134">
        <v>-1103.99999999998</v>
      </c>
      <c r="P134">
        <v>-1289.77885088879</v>
      </c>
      <c r="Q134">
        <v>19700.267414292099</v>
      </c>
      <c r="R134">
        <v>2977.0607212791401</v>
      </c>
      <c r="T134">
        <v>-2812</v>
      </c>
      <c r="U134">
        <v>15675.495299538399</v>
      </c>
      <c r="V134">
        <v>4750</v>
      </c>
      <c r="W134">
        <v>6794.7310041852097</v>
      </c>
      <c r="X134">
        <v>-750</v>
      </c>
      <c r="Y134">
        <v>-1512</v>
      </c>
      <c r="Z134">
        <v>-718.16981904920794</v>
      </c>
      <c r="AA134">
        <v>4088.50000000003</v>
      </c>
      <c r="AC134">
        <v>-7590</v>
      </c>
      <c r="AD134">
        <v>-338.53381708558601</v>
      </c>
      <c r="AE134">
        <v>-3719.6198274050698</v>
      </c>
      <c r="AF134">
        <v>-6273.4487614250102</v>
      </c>
      <c r="AG134">
        <v>0</v>
      </c>
      <c r="AH134">
        <v>2746.02303355295</v>
      </c>
      <c r="AI134">
        <v>-5184</v>
      </c>
      <c r="AK134">
        <v>5902.3552</v>
      </c>
      <c r="AL134">
        <v>15184.005536561401</v>
      </c>
      <c r="AM134">
        <v>1845</v>
      </c>
      <c r="AN134">
        <v>1512</v>
      </c>
      <c r="AP134">
        <v>-13659.098678868901</v>
      </c>
      <c r="AQ134">
        <v>-276.24458163446201</v>
      </c>
      <c r="AR134">
        <v>5726.9768540007699</v>
      </c>
      <c r="AS134">
        <v>7585.9938030278299</v>
      </c>
      <c r="AT134">
        <v>-25.348417574303301</v>
      </c>
      <c r="AU134">
        <v>-3720.28890028449</v>
      </c>
      <c r="AV134">
        <v>-373.76029231838299</v>
      </c>
      <c r="AW134">
        <v>-212.44794075311299</v>
      </c>
      <c r="AX134">
        <v>-592</v>
      </c>
      <c r="AY134">
        <v>0</v>
      </c>
      <c r="AZ134">
        <v>15871.859662859901</v>
      </c>
      <c r="BA134">
        <v>15178.005410262</v>
      </c>
      <c r="BB134">
        <v>993.53943338610804</v>
      </c>
      <c r="BC134">
        <v>7254</v>
      </c>
      <c r="BE134">
        <f t="shared" si="4"/>
        <v>174733.71823163421</v>
      </c>
      <c r="BF134">
        <f t="shared" si="5"/>
        <v>43642991.684126884</v>
      </c>
    </row>
    <row r="135" spans="1:58" x14ac:dyDescent="0.2">
      <c r="A135" s="1">
        <v>45373</v>
      </c>
      <c r="B135">
        <v>-10233.256799721899</v>
      </c>
      <c r="C135">
        <v>2013.32022941578</v>
      </c>
      <c r="D135">
        <v>-76.904444244502898</v>
      </c>
      <c r="E135">
        <v>2716.6214876137701</v>
      </c>
      <c r="F135">
        <v>1224</v>
      </c>
      <c r="G135">
        <v>48.000000000016001</v>
      </c>
      <c r="H135">
        <v>7045.9914170000002</v>
      </c>
      <c r="I135">
        <v>3434.5829157243702</v>
      </c>
      <c r="J135">
        <v>15312</v>
      </c>
      <c r="L135">
        <v>20668.156573410499</v>
      </c>
      <c r="M135">
        <v>1296.8591236085001</v>
      </c>
      <c r="N135">
        <v>-5968.9848399999601</v>
      </c>
      <c r="O135">
        <v>-960.00000000000796</v>
      </c>
      <c r="P135">
        <v>-9574.8400849172194</v>
      </c>
      <c r="Q135">
        <v>-1936.6856402921701</v>
      </c>
      <c r="R135">
        <v>6367.39957085275</v>
      </c>
      <c r="T135">
        <v>380</v>
      </c>
      <c r="U135">
        <v>-1798</v>
      </c>
      <c r="V135">
        <v>-4971.6706280443505</v>
      </c>
      <c r="W135">
        <v>12438.6282296355</v>
      </c>
      <c r="X135">
        <v>1690</v>
      </c>
      <c r="Y135">
        <v>-4060</v>
      </c>
      <c r="Z135">
        <v>429</v>
      </c>
      <c r="AA135">
        <v>-4156.28904236996</v>
      </c>
      <c r="AC135">
        <v>8550</v>
      </c>
      <c r="AD135">
        <v>5072.9955827880103</v>
      </c>
      <c r="AE135">
        <v>276</v>
      </c>
      <c r="AF135">
        <v>-10706.2566717271</v>
      </c>
      <c r="AG135">
        <v>0</v>
      </c>
      <c r="AH135">
        <v>-336.140879375336</v>
      </c>
      <c r="AI135">
        <v>-5346</v>
      </c>
      <c r="AK135">
        <v>-7058.3312140698599</v>
      </c>
      <c r="AL135">
        <v>1042.23259111947</v>
      </c>
      <c r="AM135">
        <v>-5207</v>
      </c>
      <c r="AN135">
        <v>-3738</v>
      </c>
      <c r="AP135">
        <v>19110</v>
      </c>
      <c r="AQ135">
        <v>10557.098464291599</v>
      </c>
      <c r="AR135">
        <v>13517.2444340076</v>
      </c>
      <c r="AS135">
        <v>-6137.3240472152302</v>
      </c>
      <c r="AT135">
        <v>378</v>
      </c>
      <c r="AU135">
        <v>6100</v>
      </c>
      <c r="AV135">
        <v>-1494</v>
      </c>
      <c r="AW135">
        <v>286.41396852420399</v>
      </c>
      <c r="AX135">
        <v>1470</v>
      </c>
      <c r="AY135">
        <v>0</v>
      </c>
      <c r="AZ135">
        <v>673.98057136445198</v>
      </c>
      <c r="BA135">
        <v>-19545.489335505099</v>
      </c>
      <c r="BB135">
        <v>12776.485376500999</v>
      </c>
      <c r="BC135">
        <v>-7020</v>
      </c>
      <c r="BE135">
        <f t="shared" si="4"/>
        <v>44549.836908374833</v>
      </c>
      <c r="BF135">
        <f t="shared" si="5"/>
        <v>43687541.521035261</v>
      </c>
    </row>
    <row r="136" spans="1:58" x14ac:dyDescent="0.2">
      <c r="A136" s="1">
        <v>45376</v>
      </c>
      <c r="B136">
        <v>15994.6008943006</v>
      </c>
      <c r="C136">
        <v>-2958.6162582042998</v>
      </c>
      <c r="D136">
        <v>-768.53632820523103</v>
      </c>
      <c r="E136">
        <v>-584.54456105304905</v>
      </c>
      <c r="F136">
        <v>14544</v>
      </c>
      <c r="G136">
        <v>-576.00000000002103</v>
      </c>
      <c r="H136">
        <v>15461.0433134417</v>
      </c>
      <c r="I136">
        <v>245</v>
      </c>
      <c r="J136">
        <v>13585.5579872833</v>
      </c>
      <c r="L136">
        <v>632.65361099397796</v>
      </c>
      <c r="M136">
        <v>7742.8228236280602</v>
      </c>
      <c r="N136">
        <v>1555.87823999993</v>
      </c>
      <c r="O136">
        <v>-1551.99999999999</v>
      </c>
      <c r="P136">
        <v>3996</v>
      </c>
      <c r="Q136">
        <v>-2416.63364121421</v>
      </c>
      <c r="R136">
        <v>14536.0553456343</v>
      </c>
      <c r="T136">
        <v>-1224</v>
      </c>
      <c r="U136">
        <v>12214</v>
      </c>
      <c r="V136">
        <v>-1275</v>
      </c>
      <c r="W136">
        <v>-18280.379537273799</v>
      </c>
      <c r="X136">
        <v>2120</v>
      </c>
      <c r="Y136">
        <v>2632</v>
      </c>
      <c r="Z136">
        <v>312</v>
      </c>
      <c r="AA136">
        <v>-996.00000000002103</v>
      </c>
      <c r="AC136">
        <v>-5340</v>
      </c>
      <c r="AD136">
        <v>-3340.92470777677</v>
      </c>
      <c r="AE136">
        <v>7038</v>
      </c>
      <c r="AF136">
        <v>29508.751475624998</v>
      </c>
      <c r="AG136">
        <v>-87.098816780953598</v>
      </c>
      <c r="AH136">
        <v>27941.401757690499</v>
      </c>
      <c r="AI136">
        <v>8910</v>
      </c>
      <c r="AK136">
        <v>416.75310000000002</v>
      </c>
      <c r="AL136">
        <v>34929.934544255499</v>
      </c>
      <c r="AM136">
        <v>-2050</v>
      </c>
      <c r="AN136">
        <v>-2436</v>
      </c>
      <c r="AP136">
        <v>20280</v>
      </c>
      <c r="AQ136">
        <v>-89.868036256958504</v>
      </c>
      <c r="AR136">
        <v>-1187.4351417151699</v>
      </c>
      <c r="AS136">
        <v>-23718.544160197998</v>
      </c>
      <c r="AT136">
        <v>-294.78104668899198</v>
      </c>
      <c r="AU136">
        <v>-7076</v>
      </c>
      <c r="AV136">
        <v>0</v>
      </c>
      <c r="AW136">
        <v>-178.44885679743001</v>
      </c>
      <c r="AX136">
        <v>-390.55094740240401</v>
      </c>
      <c r="AY136">
        <v>0</v>
      </c>
      <c r="AZ136">
        <v>-4979.4251452437702</v>
      </c>
      <c r="BA136">
        <v>4217.9630999998099</v>
      </c>
      <c r="BB136">
        <v>2418.1943573385502</v>
      </c>
      <c r="BC136">
        <v>5836.7250488040099</v>
      </c>
      <c r="BE136">
        <f t="shared" si="4"/>
        <v>165268.54841418419</v>
      </c>
      <c r="BF136">
        <f t="shared" si="5"/>
        <v>43852810.069449447</v>
      </c>
    </row>
    <row r="137" spans="1:58" x14ac:dyDescent="0.2">
      <c r="A137" s="1">
        <v>45377</v>
      </c>
      <c r="B137">
        <v>8542.8058311966997</v>
      </c>
      <c r="C137">
        <v>1936</v>
      </c>
      <c r="D137">
        <v>-969</v>
      </c>
      <c r="E137">
        <v>3667.2635507318</v>
      </c>
      <c r="F137">
        <v>-3670.62756919802</v>
      </c>
      <c r="G137">
        <v>-342.12095706589298</v>
      </c>
      <c r="H137">
        <v>5128.1658961554404</v>
      </c>
      <c r="I137">
        <v>590</v>
      </c>
      <c r="J137">
        <v>-12437.391955643699</v>
      </c>
      <c r="L137">
        <v>-24443.365361911401</v>
      </c>
      <c r="M137">
        <v>-2660.3792683933002</v>
      </c>
      <c r="N137">
        <v>-1296.5652</v>
      </c>
      <c r="O137">
        <v>-4334.23941554868</v>
      </c>
      <c r="P137">
        <v>2220</v>
      </c>
      <c r="Q137">
        <v>1935.1371071867</v>
      </c>
      <c r="R137">
        <v>4738.7054534797799</v>
      </c>
      <c r="T137">
        <v>-2980</v>
      </c>
      <c r="U137">
        <v>-186</v>
      </c>
      <c r="V137">
        <v>1350</v>
      </c>
      <c r="W137">
        <v>8557</v>
      </c>
      <c r="X137">
        <v>175</v>
      </c>
      <c r="Y137">
        <v>12348</v>
      </c>
      <c r="Z137">
        <v>-351</v>
      </c>
      <c r="AA137">
        <v>683.99999999997794</v>
      </c>
      <c r="AC137">
        <v>5225</v>
      </c>
      <c r="AD137">
        <v>0</v>
      </c>
      <c r="AE137">
        <v>1864.12459484995</v>
      </c>
      <c r="AF137">
        <v>-440.95808139125398</v>
      </c>
      <c r="AG137">
        <v>-650</v>
      </c>
      <c r="AH137">
        <v>-2961</v>
      </c>
      <c r="AI137">
        <v>-7290</v>
      </c>
      <c r="AK137">
        <v>-430.82466602925899</v>
      </c>
      <c r="AL137">
        <v>-4256</v>
      </c>
      <c r="AM137">
        <v>-4264</v>
      </c>
      <c r="AN137">
        <v>-4960.4223389628496</v>
      </c>
      <c r="AP137">
        <v>-1181.6866326152101</v>
      </c>
      <c r="AQ137">
        <v>3339.14654597341</v>
      </c>
      <c r="AR137">
        <v>6476.3780458131396</v>
      </c>
      <c r="AS137">
        <v>5559.0525305785204</v>
      </c>
      <c r="AT137">
        <v>-805.55899646860303</v>
      </c>
      <c r="AU137">
        <v>-559.757531600265</v>
      </c>
      <c r="AV137">
        <v>8549</v>
      </c>
      <c r="AW137">
        <v>-272.13174879628701</v>
      </c>
      <c r="AX137">
        <v>298.75849466495902</v>
      </c>
      <c r="AY137">
        <v>-4683.6558000000296</v>
      </c>
      <c r="AZ137">
        <v>19342.962539999698</v>
      </c>
      <c r="BA137">
        <v>-733.55880000037496</v>
      </c>
      <c r="BB137">
        <v>-4900.7950395907801</v>
      </c>
      <c r="BC137">
        <v>2290</v>
      </c>
      <c r="BE137">
        <f t="shared" si="4"/>
        <v>12755.461227414169</v>
      </c>
      <c r="BF137">
        <f t="shared" si="5"/>
        <v>43865565.530676864</v>
      </c>
    </row>
    <row r="138" spans="1:58" x14ac:dyDescent="0.2">
      <c r="A138" s="1">
        <v>45378</v>
      </c>
      <c r="B138">
        <v>21384</v>
      </c>
      <c r="C138">
        <v>2684</v>
      </c>
      <c r="D138">
        <v>171</v>
      </c>
      <c r="E138">
        <v>3498.1295557149901</v>
      </c>
      <c r="F138">
        <v>2556.6123725453299</v>
      </c>
      <c r="G138">
        <v>2601.80331305031</v>
      </c>
      <c r="H138">
        <v>12601.228516241301</v>
      </c>
      <c r="I138">
        <v>-5315</v>
      </c>
      <c r="J138">
        <v>-1110</v>
      </c>
      <c r="L138">
        <v>6216</v>
      </c>
      <c r="M138">
        <v>8735.9363229580595</v>
      </c>
      <c r="N138">
        <v>5455.2346800000996</v>
      </c>
      <c r="O138">
        <v>-62.009043688755398</v>
      </c>
      <c r="P138">
        <v>-7437</v>
      </c>
      <c r="Q138">
        <v>-6750</v>
      </c>
      <c r="R138">
        <v>-2159.4997234830098</v>
      </c>
      <c r="T138">
        <v>-2016.72615958603</v>
      </c>
      <c r="U138">
        <v>5890</v>
      </c>
      <c r="V138">
        <v>3975</v>
      </c>
      <c r="W138">
        <v>18447</v>
      </c>
      <c r="X138">
        <v>1030</v>
      </c>
      <c r="Y138">
        <v>9795.2762794992796</v>
      </c>
      <c r="Z138">
        <v>468</v>
      </c>
      <c r="AA138">
        <v>3720</v>
      </c>
      <c r="AC138">
        <v>2695</v>
      </c>
      <c r="AD138">
        <v>476</v>
      </c>
      <c r="AE138">
        <v>-98.835073002060497</v>
      </c>
      <c r="AF138">
        <v>7605</v>
      </c>
      <c r="AG138">
        <v>-162</v>
      </c>
      <c r="AH138">
        <v>-2303</v>
      </c>
      <c r="AI138">
        <v>-648</v>
      </c>
      <c r="AK138">
        <v>5366.8608911460897</v>
      </c>
      <c r="AL138">
        <v>2432</v>
      </c>
      <c r="AM138">
        <v>5438.42717329263</v>
      </c>
      <c r="AN138">
        <v>4915.59283273243</v>
      </c>
      <c r="AP138">
        <v>12310.3409141793</v>
      </c>
      <c r="AQ138">
        <v>7286.1698199512102</v>
      </c>
      <c r="AR138">
        <v>-54578.408632902399</v>
      </c>
      <c r="AS138">
        <v>-4838.4075092644798</v>
      </c>
      <c r="AT138">
        <v>136</v>
      </c>
      <c r="AU138">
        <v>-1389.68293573702</v>
      </c>
      <c r="AV138">
        <v>0</v>
      </c>
      <c r="AW138">
        <v>-94.950451900129295</v>
      </c>
      <c r="AX138">
        <v>-3809.2440549542998</v>
      </c>
      <c r="AY138">
        <v>-5527.8596844280601</v>
      </c>
      <c r="AZ138">
        <v>9711.2170059602904</v>
      </c>
      <c r="BA138">
        <v>-7170.5672999992203</v>
      </c>
      <c r="BB138">
        <v>2376</v>
      </c>
      <c r="BC138">
        <v>916</v>
      </c>
      <c r="BE138">
        <f t="shared" si="4"/>
        <v>65422.63910832585</v>
      </c>
      <c r="BF138">
        <f t="shared" si="5"/>
        <v>43930988.169785187</v>
      </c>
    </row>
    <row r="139" spans="1:58" x14ac:dyDescent="0.2">
      <c r="A139" s="1">
        <v>45379</v>
      </c>
      <c r="B139">
        <v>3352.25814078851</v>
      </c>
      <c r="C139">
        <v>2886.59524840019</v>
      </c>
      <c r="D139">
        <v>418</v>
      </c>
      <c r="E139">
        <v>5930.0195860550202</v>
      </c>
      <c r="F139">
        <v>3225.8939599686601</v>
      </c>
      <c r="G139">
        <v>-681.25593891461301</v>
      </c>
      <c r="H139">
        <v>2698.0453119767299</v>
      </c>
      <c r="I139">
        <v>1709.39733882115</v>
      </c>
      <c r="J139">
        <v>-11174</v>
      </c>
      <c r="L139">
        <v>1512</v>
      </c>
      <c r="M139">
        <v>19972.736857887299</v>
      </c>
      <c r="N139">
        <v>7813.28779999996</v>
      </c>
      <c r="O139">
        <v>269.54135811850301</v>
      </c>
      <c r="P139">
        <v>5106</v>
      </c>
      <c r="Q139">
        <v>2433.7652132786102</v>
      </c>
      <c r="R139">
        <v>2152.2395167208601</v>
      </c>
      <c r="T139">
        <v>341.24892997893897</v>
      </c>
      <c r="U139">
        <v>3083.0169232779599</v>
      </c>
      <c r="V139">
        <v>4500</v>
      </c>
      <c r="W139">
        <v>-2236</v>
      </c>
      <c r="X139">
        <v>77.094203008448602</v>
      </c>
      <c r="Y139">
        <v>-3077.9749588219602</v>
      </c>
      <c r="Z139">
        <v>323.71807781335701</v>
      </c>
      <c r="AA139">
        <v>3348.00000000006</v>
      </c>
      <c r="AC139">
        <v>-5000</v>
      </c>
      <c r="AD139">
        <v>-2609.9282427140502</v>
      </c>
      <c r="AE139">
        <v>-5497.0575593773101</v>
      </c>
      <c r="AF139">
        <v>-468</v>
      </c>
      <c r="AG139">
        <v>-250</v>
      </c>
      <c r="AH139">
        <v>11186</v>
      </c>
      <c r="AI139">
        <v>-972</v>
      </c>
      <c r="AK139">
        <v>324.01074999999997</v>
      </c>
      <c r="AL139">
        <v>-49860.0653034309</v>
      </c>
      <c r="AM139">
        <v>15920</v>
      </c>
      <c r="AN139">
        <v>15640</v>
      </c>
      <c r="AP139">
        <v>-14223.6628922941</v>
      </c>
      <c r="AQ139">
        <v>2035.15102327618</v>
      </c>
      <c r="AR139">
        <v>-4707.42879642345</v>
      </c>
      <c r="AS139">
        <v>-2248.67033409121</v>
      </c>
      <c r="AT139">
        <v>476</v>
      </c>
      <c r="AU139">
        <v>-244.89837876103101</v>
      </c>
      <c r="AV139">
        <v>-8134</v>
      </c>
      <c r="AW139">
        <v>665.366423990052</v>
      </c>
      <c r="AX139">
        <v>2150.7797525269898</v>
      </c>
      <c r="AY139">
        <v>-2435.2101457326098</v>
      </c>
      <c r="AZ139">
        <v>-9606.8697513945499</v>
      </c>
      <c r="BA139">
        <v>7158.2939999992204</v>
      </c>
      <c r="BB139">
        <v>78.038104261806495</v>
      </c>
      <c r="BC139">
        <v>-7786</v>
      </c>
      <c r="BE139">
        <f t="shared" si="4"/>
        <v>-4426.5237818072874</v>
      </c>
      <c r="BF139">
        <f t="shared" si="5"/>
        <v>43926561.64600338</v>
      </c>
    </row>
    <row r="140" spans="1:58" x14ac:dyDescent="0.2">
      <c r="A140" s="1">
        <v>45380</v>
      </c>
      <c r="B140">
        <v>12213</v>
      </c>
      <c r="C140">
        <v>6222.2958087937004</v>
      </c>
      <c r="D140">
        <v>-437</v>
      </c>
      <c r="E140">
        <v>205.75279719143799</v>
      </c>
      <c r="F140">
        <v>1646.3033971390701</v>
      </c>
      <c r="G140">
        <v>1091.99999999999</v>
      </c>
      <c r="H140">
        <v>-7496.0836315135302</v>
      </c>
      <c r="I140">
        <v>-1320</v>
      </c>
      <c r="J140">
        <v>-19166</v>
      </c>
      <c r="L140">
        <v>-168</v>
      </c>
      <c r="M140">
        <v>4648.7000000001099</v>
      </c>
      <c r="N140">
        <v>8269.5262646990304</v>
      </c>
      <c r="O140">
        <v>-381.56096180295901</v>
      </c>
      <c r="P140">
        <v>3219</v>
      </c>
      <c r="Q140">
        <v>-178.249386074098</v>
      </c>
      <c r="R140">
        <v>8754.4641088014905</v>
      </c>
      <c r="T140">
        <v>90</v>
      </c>
      <c r="U140">
        <v>9915.3839254020295</v>
      </c>
      <c r="V140">
        <v>2775</v>
      </c>
      <c r="W140">
        <v>11524</v>
      </c>
      <c r="X140">
        <v>-832.82314607674095</v>
      </c>
      <c r="Y140">
        <v>2789.2197025779701</v>
      </c>
      <c r="Z140">
        <v>629.32622285478396</v>
      </c>
      <c r="AA140">
        <v>2745.8159459994899</v>
      </c>
      <c r="AC140">
        <v>-1320</v>
      </c>
      <c r="AD140">
        <v>-928</v>
      </c>
      <c r="AE140">
        <v>1629</v>
      </c>
      <c r="AF140">
        <v>-2691</v>
      </c>
      <c r="AG140">
        <v>-2510</v>
      </c>
      <c r="AH140">
        <v>2303</v>
      </c>
      <c r="AI140">
        <v>8910</v>
      </c>
      <c r="AK140">
        <v>2106.465725</v>
      </c>
      <c r="AL140">
        <v>21773.213525255</v>
      </c>
      <c r="AM140">
        <v>-2160</v>
      </c>
      <c r="AN140">
        <v>-80</v>
      </c>
      <c r="AP140">
        <v>3024</v>
      </c>
      <c r="AQ140">
        <v>-13772.917329883399</v>
      </c>
      <c r="AR140">
        <v>17699.706632969799</v>
      </c>
      <c r="AS140">
        <v>-6650.2805853864802</v>
      </c>
      <c r="AT140">
        <v>-389.25142445084998</v>
      </c>
      <c r="AU140">
        <v>0</v>
      </c>
      <c r="AV140">
        <v>3320</v>
      </c>
      <c r="AW140">
        <v>-2053.2172054292</v>
      </c>
      <c r="AX140">
        <v>-1795</v>
      </c>
      <c r="AY140">
        <v>-7400.0673501849597</v>
      </c>
      <c r="AZ140">
        <v>-2577.3955200001201</v>
      </c>
      <c r="BA140">
        <v>-2196.5795999995598</v>
      </c>
      <c r="BB140">
        <v>5341.1014736587804</v>
      </c>
      <c r="BC140">
        <v>916</v>
      </c>
      <c r="BE140">
        <f t="shared" si="4"/>
        <v>67258.849389540774</v>
      </c>
      <c r="BF140">
        <f t="shared" si="5"/>
        <v>43993820.495392919</v>
      </c>
    </row>
    <row r="141" spans="1:58" x14ac:dyDescent="0.2">
      <c r="A141" s="1">
        <v>45383</v>
      </c>
      <c r="B141">
        <v>33097</v>
      </c>
      <c r="C141">
        <v>-2278.05525341874</v>
      </c>
      <c r="D141">
        <v>41.861140740537699</v>
      </c>
      <c r="E141">
        <v>1340.38250886942</v>
      </c>
      <c r="F141">
        <v>11149.619745427301</v>
      </c>
      <c r="G141">
        <v>-623.24143637645398</v>
      </c>
      <c r="H141">
        <v>3443.7345399999999</v>
      </c>
      <c r="I141">
        <v>-720.42110090574704</v>
      </c>
      <c r="J141">
        <v>1152.89778168659</v>
      </c>
      <c r="L141">
        <v>-6888</v>
      </c>
      <c r="M141">
        <v>13267.968595222899</v>
      </c>
      <c r="N141">
        <v>2051.6846001506801</v>
      </c>
      <c r="O141">
        <v>-629.98094733935704</v>
      </c>
      <c r="P141">
        <v>-10446.7582082432</v>
      </c>
      <c r="Q141">
        <v>-1128.22348283564</v>
      </c>
      <c r="R141">
        <v>-38727.584774182498</v>
      </c>
      <c r="T141">
        <v>-77.989762309579305</v>
      </c>
      <c r="U141">
        <v>5769.5536603381997</v>
      </c>
      <c r="V141">
        <v>10928.5162538328</v>
      </c>
      <c r="W141">
        <v>6751</v>
      </c>
      <c r="X141">
        <v>-6328</v>
      </c>
      <c r="Y141">
        <v>8901.2275208971096</v>
      </c>
      <c r="Z141">
        <v>-2160.8168327684598</v>
      </c>
      <c r="AA141">
        <v>10673.5989913757</v>
      </c>
      <c r="AC141">
        <v>5606.3087010091103</v>
      </c>
      <c r="AD141">
        <v>-3973</v>
      </c>
      <c r="AE141">
        <v>-16471</v>
      </c>
      <c r="AF141">
        <v>-4875</v>
      </c>
      <c r="AG141">
        <v>-4276</v>
      </c>
      <c r="AH141">
        <v>42103.1663943823</v>
      </c>
      <c r="AI141">
        <v>3402</v>
      </c>
      <c r="AK141">
        <v>2221.0370264885901</v>
      </c>
      <c r="AL141">
        <v>-19204.6654000897</v>
      </c>
      <c r="AM141">
        <v>5400</v>
      </c>
      <c r="AN141">
        <v>3840</v>
      </c>
      <c r="AP141">
        <v>-12096</v>
      </c>
      <c r="AQ141">
        <v>-6240</v>
      </c>
      <c r="AR141">
        <v>-15793.9374604773</v>
      </c>
      <c r="AS141">
        <v>-53743.028800771499</v>
      </c>
      <c r="AT141">
        <v>80</v>
      </c>
      <c r="AU141">
        <v>819</v>
      </c>
      <c r="AV141">
        <v>0</v>
      </c>
      <c r="AW141">
        <v>-2979.6423892453399</v>
      </c>
      <c r="AX141">
        <v>1426.6652638642099</v>
      </c>
      <c r="AY141">
        <v>0</v>
      </c>
      <c r="AZ141">
        <v>-4036.2973199999601</v>
      </c>
      <c r="BA141">
        <v>6228.9768000000604</v>
      </c>
      <c r="BB141">
        <v>-5913.6615770758899</v>
      </c>
      <c r="BC141">
        <v>-4809</v>
      </c>
      <c r="BE141">
        <f t="shared" si="4"/>
        <v>-44724.10522175386</v>
      </c>
      <c r="BF141">
        <f t="shared" si="5"/>
        <v>43949096.390171163</v>
      </c>
    </row>
    <row r="142" spans="1:58" x14ac:dyDescent="0.2">
      <c r="A142" s="1">
        <v>45384</v>
      </c>
      <c r="B142">
        <v>575.19588088721298</v>
      </c>
      <c r="C142">
        <v>4386.82438084972</v>
      </c>
      <c r="D142">
        <v>-136.496396090274</v>
      </c>
      <c r="E142">
        <v>12553.033380127999</v>
      </c>
      <c r="F142">
        <v>894.27680220465004</v>
      </c>
      <c r="G142">
        <v>-1189.99999999996</v>
      </c>
      <c r="H142">
        <v>-16046.775224733399</v>
      </c>
      <c r="I142">
        <v>353.66096048270998</v>
      </c>
      <c r="J142">
        <v>-11713.813086881501</v>
      </c>
      <c r="L142">
        <v>-67872</v>
      </c>
      <c r="M142">
        <v>17359.087812140999</v>
      </c>
      <c r="N142">
        <v>9753.8495999999504</v>
      </c>
      <c r="O142">
        <v>-279.99999999998602</v>
      </c>
      <c r="P142">
        <v>-8064</v>
      </c>
      <c r="Q142">
        <v>-2124.62236610332</v>
      </c>
      <c r="R142">
        <v>-10097.1169615939</v>
      </c>
      <c r="T142">
        <v>1040.0475114092101</v>
      </c>
      <c r="U142">
        <v>-14234.7626806566</v>
      </c>
      <c r="V142">
        <v>1078.5934494789899</v>
      </c>
      <c r="W142">
        <v>11137</v>
      </c>
      <c r="X142">
        <v>329</v>
      </c>
      <c r="Y142">
        <v>-5870.73202689558</v>
      </c>
      <c r="Z142">
        <v>-1952</v>
      </c>
      <c r="AA142">
        <v>665.91475190755705</v>
      </c>
      <c r="AC142">
        <v>20040</v>
      </c>
      <c r="AD142">
        <v>957</v>
      </c>
      <c r="AE142">
        <v>4825.2914524612097</v>
      </c>
      <c r="AF142">
        <v>117</v>
      </c>
      <c r="AG142">
        <v>-3356.7459267363001</v>
      </c>
      <c r="AH142">
        <v>14652</v>
      </c>
      <c r="AI142">
        <v>4698</v>
      </c>
      <c r="AK142">
        <v>420.051036388863</v>
      </c>
      <c r="AL142">
        <v>9359.2880094006396</v>
      </c>
      <c r="AM142">
        <v>240</v>
      </c>
      <c r="AN142">
        <v>1680</v>
      </c>
      <c r="AP142">
        <v>4752</v>
      </c>
      <c r="AQ142">
        <v>-5760</v>
      </c>
      <c r="AR142">
        <v>-22690.510155166299</v>
      </c>
      <c r="AS142">
        <v>15787.0734480191</v>
      </c>
      <c r="AT142">
        <v>-260</v>
      </c>
      <c r="AU142">
        <v>-741</v>
      </c>
      <c r="AV142">
        <v>-3735</v>
      </c>
      <c r="AW142">
        <v>321.45990629511101</v>
      </c>
      <c r="AX142">
        <v>90</v>
      </c>
      <c r="AY142">
        <v>0</v>
      </c>
      <c r="AZ142">
        <v>30455.697959999899</v>
      </c>
      <c r="BA142">
        <v>-5129.7456000000202</v>
      </c>
      <c r="BB142">
        <v>3393</v>
      </c>
      <c r="BC142">
        <v>-13969</v>
      </c>
      <c r="BE142">
        <f t="shared" si="4"/>
        <v>-23309.974082803317</v>
      </c>
      <c r="BF142">
        <f t="shared" si="5"/>
        <v>43925786.416088358</v>
      </c>
    </row>
    <row r="143" spans="1:58" x14ac:dyDescent="0.2">
      <c r="A143" s="1">
        <v>45385</v>
      </c>
      <c r="B143">
        <v>1494</v>
      </c>
      <c r="C143">
        <v>-4560.2557308563601</v>
      </c>
      <c r="D143">
        <v>47.503469467685498</v>
      </c>
      <c r="E143">
        <v>8965.4034004452697</v>
      </c>
      <c r="F143">
        <v>-36913.550997580103</v>
      </c>
      <c r="G143">
        <v>665.00000000000398</v>
      </c>
      <c r="H143">
        <v>4530.2575500000003</v>
      </c>
      <c r="I143">
        <v>-356</v>
      </c>
      <c r="J143">
        <v>1067.03134342412</v>
      </c>
      <c r="L143">
        <v>-20284.025223592002</v>
      </c>
      <c r="M143">
        <v>5074.7030781439298</v>
      </c>
      <c r="N143">
        <v>13123.837079999899</v>
      </c>
      <c r="O143">
        <v>-436.912301258691</v>
      </c>
      <c r="P143">
        <v>-4256</v>
      </c>
      <c r="Q143">
        <v>-9522.7281130292704</v>
      </c>
      <c r="R143">
        <v>-18341.199044618901</v>
      </c>
      <c r="T143">
        <v>699.31496861007395</v>
      </c>
      <c r="U143">
        <v>-1443</v>
      </c>
      <c r="V143">
        <v>12125</v>
      </c>
      <c r="W143">
        <v>1650.30603216905</v>
      </c>
      <c r="X143">
        <v>-22.735024369212798</v>
      </c>
      <c r="Y143">
        <v>9542.6441152251591</v>
      </c>
      <c r="Z143">
        <v>-9150</v>
      </c>
      <c r="AA143">
        <v>10223.155649726499</v>
      </c>
      <c r="AC143">
        <v>-738</v>
      </c>
      <c r="AD143">
        <v>-1624</v>
      </c>
      <c r="AE143">
        <v>-1932.61114715549</v>
      </c>
      <c r="AF143">
        <v>-1560</v>
      </c>
      <c r="AG143">
        <v>-93.658964422994003</v>
      </c>
      <c r="AH143">
        <v>-14985</v>
      </c>
      <c r="AI143">
        <v>810</v>
      </c>
      <c r="AK143">
        <v>5057.4065435730899</v>
      </c>
      <c r="AL143">
        <v>-96168.721277456294</v>
      </c>
      <c r="AM143">
        <v>24600</v>
      </c>
      <c r="AN143">
        <v>23480</v>
      </c>
      <c r="AP143">
        <v>-16200</v>
      </c>
      <c r="AQ143">
        <v>-2987.7844422858602</v>
      </c>
      <c r="AR143">
        <v>-4253.6610181004298</v>
      </c>
      <c r="AS143">
        <v>-2317.3359956710001</v>
      </c>
      <c r="AT143">
        <v>300</v>
      </c>
      <c r="AU143">
        <v>-250.342325606016</v>
      </c>
      <c r="AV143">
        <v>0</v>
      </c>
      <c r="AW143">
        <v>-1830.7085157885399</v>
      </c>
      <c r="AX143">
        <v>-237</v>
      </c>
      <c r="AY143">
        <v>0</v>
      </c>
      <c r="AZ143">
        <v>-11365.8350399999</v>
      </c>
      <c r="BA143">
        <v>14083.307700000099</v>
      </c>
      <c r="BB143">
        <v>-23881.995306895999</v>
      </c>
      <c r="BC143">
        <v>12976.450537225301</v>
      </c>
      <c r="BE143">
        <f t="shared" si="4"/>
        <v>-135197.73900067693</v>
      </c>
      <c r="BF143">
        <f t="shared" si="5"/>
        <v>43790588.67708768</v>
      </c>
    </row>
    <row r="144" spans="1:58" x14ac:dyDescent="0.2">
      <c r="A144" s="1">
        <v>45386</v>
      </c>
      <c r="B144">
        <v>-1818</v>
      </c>
      <c r="C144">
        <v>-2214</v>
      </c>
      <c r="D144">
        <v>-22</v>
      </c>
      <c r="E144">
        <v>-17461.836436498601</v>
      </c>
      <c r="F144">
        <v>20290.8382877492</v>
      </c>
      <c r="G144">
        <v>594.99999999998101</v>
      </c>
      <c r="H144">
        <v>5045.1387000000004</v>
      </c>
      <c r="I144">
        <v>-229</v>
      </c>
      <c r="J144">
        <v>-22269.925496405001</v>
      </c>
      <c r="L144">
        <v>-4217.59967490502</v>
      </c>
      <c r="M144">
        <v>718.79951923337796</v>
      </c>
      <c r="N144">
        <v>6579.6092567238802</v>
      </c>
      <c r="O144">
        <v>-1672.00000000001</v>
      </c>
      <c r="P144">
        <v>-6384</v>
      </c>
      <c r="Q144">
        <v>2713.9816727474099</v>
      </c>
      <c r="R144">
        <v>-10282.8728455728</v>
      </c>
      <c r="T144">
        <v>3068.3220845358501</v>
      </c>
      <c r="U144">
        <v>9879</v>
      </c>
      <c r="V144">
        <v>5375</v>
      </c>
      <c r="W144">
        <v>-3311.6137690197402</v>
      </c>
      <c r="X144">
        <v>1632</v>
      </c>
      <c r="Y144">
        <v>-768.64618892700901</v>
      </c>
      <c r="Z144">
        <v>1750.9136651640799</v>
      </c>
      <c r="AA144">
        <v>5245.9145398349401</v>
      </c>
      <c r="AC144">
        <v>-11796.2371621416</v>
      </c>
      <c r="AD144">
        <v>-2320</v>
      </c>
      <c r="AE144">
        <v>409.94886671596902</v>
      </c>
      <c r="AF144">
        <v>3198</v>
      </c>
      <c r="AG144">
        <v>92</v>
      </c>
      <c r="AH144">
        <v>-21645</v>
      </c>
      <c r="AI144">
        <v>13608</v>
      </c>
      <c r="AK144">
        <v>4015.5361391414299</v>
      </c>
      <c r="AL144">
        <v>-110858.467699367</v>
      </c>
      <c r="AM144">
        <v>-3520</v>
      </c>
      <c r="AN144">
        <v>-2880</v>
      </c>
      <c r="AP144">
        <v>6456.91555721853</v>
      </c>
      <c r="AQ144">
        <v>-11146.741979971401</v>
      </c>
      <c r="AR144">
        <v>-3366.7643787212801</v>
      </c>
      <c r="AS144">
        <v>-98.520582790400397</v>
      </c>
      <c r="AT144">
        <v>-220</v>
      </c>
      <c r="AU144">
        <v>0</v>
      </c>
      <c r="AV144">
        <v>0</v>
      </c>
      <c r="AW144">
        <v>230.886995244812</v>
      </c>
      <c r="AX144">
        <v>-576</v>
      </c>
      <c r="AY144">
        <v>0</v>
      </c>
      <c r="AZ144">
        <v>-1466.3937599998301</v>
      </c>
      <c r="BA144">
        <v>-7038.0794968969503</v>
      </c>
      <c r="BB144">
        <v>11684.5796848276</v>
      </c>
      <c r="BC144">
        <v>-3600</v>
      </c>
      <c r="BE144">
        <f t="shared" si="4"/>
        <v>-148593.31450207959</v>
      </c>
      <c r="BF144">
        <f t="shared" si="5"/>
        <v>43641995.362585597</v>
      </c>
    </row>
    <row r="145" spans="1:58" x14ac:dyDescent="0.2">
      <c r="A145" s="1">
        <v>45387</v>
      </c>
      <c r="B145">
        <v>-360</v>
      </c>
      <c r="C145">
        <v>-7708</v>
      </c>
      <c r="D145">
        <v>-20</v>
      </c>
      <c r="E145">
        <v>-5890</v>
      </c>
      <c r="F145">
        <v>1316</v>
      </c>
      <c r="G145">
        <v>-1785</v>
      </c>
      <c r="H145">
        <v>-30101.736174999998</v>
      </c>
      <c r="I145">
        <v>178.97210222007499</v>
      </c>
      <c r="J145">
        <v>7288.3940176655296</v>
      </c>
      <c r="L145">
        <v>2050.7277046098602</v>
      </c>
      <c r="M145">
        <v>10461.616347380001</v>
      </c>
      <c r="N145">
        <v>15844.747799999999</v>
      </c>
      <c r="O145">
        <v>2551.99999999999</v>
      </c>
      <c r="P145">
        <v>11770.6206669936</v>
      </c>
      <c r="Q145">
        <v>420</v>
      </c>
      <c r="R145">
        <v>9888.3513854781704</v>
      </c>
      <c r="T145">
        <v>-4635.7392403062804</v>
      </c>
      <c r="U145">
        <v>-20868</v>
      </c>
      <c r="V145">
        <v>-4646.2998680825904</v>
      </c>
      <c r="W145">
        <v>16967</v>
      </c>
      <c r="X145">
        <v>408</v>
      </c>
      <c r="Y145">
        <v>-15237.3456725298</v>
      </c>
      <c r="Z145">
        <v>170.88415927241499</v>
      </c>
      <c r="AA145">
        <v>-4842.4226394001698</v>
      </c>
      <c r="AC145">
        <v>14770</v>
      </c>
      <c r="AD145">
        <v>2041.5541658213599</v>
      </c>
      <c r="AE145">
        <v>3923.2002116906501</v>
      </c>
      <c r="AF145">
        <v>-2262</v>
      </c>
      <c r="AG145">
        <v>526.93487624754596</v>
      </c>
      <c r="AH145">
        <v>-2411.0625109196599</v>
      </c>
      <c r="AI145">
        <v>2584.1734171979201</v>
      </c>
      <c r="AK145">
        <v>-6060.7184014920904</v>
      </c>
      <c r="AL145">
        <v>16916.193196854401</v>
      </c>
      <c r="AM145">
        <v>1000</v>
      </c>
      <c r="AN145">
        <v>-40</v>
      </c>
      <c r="AP145">
        <v>7061.78216029536</v>
      </c>
      <c r="AQ145">
        <v>4407.5711093292302</v>
      </c>
      <c r="AR145">
        <v>680.96051279042001</v>
      </c>
      <c r="AS145">
        <v>483.81207812577298</v>
      </c>
      <c r="AT145">
        <v>20</v>
      </c>
      <c r="AU145">
        <v>0</v>
      </c>
      <c r="AV145">
        <v>0</v>
      </c>
      <c r="AW145">
        <v>298.37607737002702</v>
      </c>
      <c r="AX145">
        <v>686.95601978980505</v>
      </c>
      <c r="AY145">
        <v>0</v>
      </c>
      <c r="AZ145">
        <v>-12816.291600000201</v>
      </c>
      <c r="BA145">
        <v>4536.5325599996304</v>
      </c>
      <c r="BB145">
        <v>19288.464420542401</v>
      </c>
      <c r="BC145">
        <v>2197.3756365935001</v>
      </c>
      <c r="BE145">
        <f t="shared" si="4"/>
        <v>41056.584518536867</v>
      </c>
      <c r="BF145">
        <f t="shared" si="5"/>
        <v>43683051.947104134</v>
      </c>
    </row>
    <row r="146" spans="1:58" x14ac:dyDescent="0.2">
      <c r="A146" s="1">
        <v>45390</v>
      </c>
      <c r="B146">
        <v>27018</v>
      </c>
      <c r="C146">
        <v>5986</v>
      </c>
      <c r="D146">
        <v>-19.579811681098299</v>
      </c>
      <c r="E146">
        <v>-1240</v>
      </c>
      <c r="F146">
        <v>7896</v>
      </c>
      <c r="G146">
        <v>0</v>
      </c>
      <c r="H146">
        <v>14048.5395631218</v>
      </c>
      <c r="I146">
        <v>0</v>
      </c>
      <c r="J146">
        <v>-4422.9374213187102</v>
      </c>
      <c r="L146">
        <v>126.975670664803</v>
      </c>
      <c r="M146">
        <v>19519.758115206099</v>
      </c>
      <c r="N146">
        <v>4851.8137499999903</v>
      </c>
      <c r="O146">
        <v>-1540</v>
      </c>
      <c r="P146">
        <v>2288</v>
      </c>
      <c r="Q146">
        <v>-210</v>
      </c>
      <c r="R146">
        <v>-7380.5720783340303</v>
      </c>
      <c r="T146">
        <v>2547</v>
      </c>
      <c r="U146">
        <v>23056.825866144802</v>
      </c>
      <c r="V146">
        <v>14850</v>
      </c>
      <c r="W146">
        <v>-2376.5843741992999</v>
      </c>
      <c r="X146">
        <v>-732</v>
      </c>
      <c r="Y146">
        <v>25760</v>
      </c>
      <c r="Z146">
        <v>624</v>
      </c>
      <c r="AA146">
        <v>14294.642856598201</v>
      </c>
      <c r="AC146">
        <v>1442</v>
      </c>
      <c r="AD146">
        <v>-1612</v>
      </c>
      <c r="AE146">
        <v>-5400</v>
      </c>
      <c r="AF146">
        <v>6864</v>
      </c>
      <c r="AG146">
        <v>1400</v>
      </c>
      <c r="AH146">
        <v>-1813.03108338224</v>
      </c>
      <c r="AI146">
        <v>4164.1020533984101</v>
      </c>
      <c r="AK146">
        <v>7208.4089999999997</v>
      </c>
      <c r="AL146">
        <v>-8764.8348815491408</v>
      </c>
      <c r="AM146">
        <v>4160</v>
      </c>
      <c r="AN146">
        <v>3840</v>
      </c>
      <c r="AP146">
        <v>-7486</v>
      </c>
      <c r="AQ146">
        <v>3077.0640895316001</v>
      </c>
      <c r="AR146">
        <v>4646.59118757331</v>
      </c>
      <c r="AS146">
        <v>-2568</v>
      </c>
      <c r="AT146">
        <v>200</v>
      </c>
      <c r="AU146">
        <v>0</v>
      </c>
      <c r="AV146">
        <v>-449.032251999626</v>
      </c>
      <c r="AW146">
        <v>78</v>
      </c>
      <c r="AX146">
        <v>78</v>
      </c>
      <c r="AY146">
        <v>0</v>
      </c>
      <c r="AZ146">
        <v>-759.23197890911695</v>
      </c>
      <c r="BA146">
        <v>-549.04861206436703</v>
      </c>
      <c r="BB146">
        <v>0</v>
      </c>
      <c r="BC146">
        <v>-199</v>
      </c>
      <c r="BE146">
        <f t="shared" si="4"/>
        <v>152503.86965880136</v>
      </c>
      <c r="BF146">
        <f t="shared" si="5"/>
        <v>43835555.816762932</v>
      </c>
    </row>
    <row r="147" spans="1:58" x14ac:dyDescent="0.2">
      <c r="A147" s="1">
        <v>45391</v>
      </c>
      <c r="B147">
        <v>-29916</v>
      </c>
      <c r="C147">
        <v>-16974</v>
      </c>
      <c r="D147">
        <v>358.32158190514599</v>
      </c>
      <c r="E147">
        <v>-6893.5238052847699</v>
      </c>
      <c r="F147">
        <v>2256</v>
      </c>
      <c r="G147">
        <v>-1435.00000000001</v>
      </c>
      <c r="H147">
        <v>-26184.477257630799</v>
      </c>
      <c r="I147">
        <v>-14.952601736134399</v>
      </c>
      <c r="J147">
        <v>6249.1900491367396</v>
      </c>
      <c r="L147">
        <v>-700.417550008327</v>
      </c>
      <c r="M147">
        <v>19479.319405176098</v>
      </c>
      <c r="N147">
        <v>10091.7725999999</v>
      </c>
      <c r="O147">
        <v>1496.00000000003</v>
      </c>
      <c r="P147">
        <v>-4472</v>
      </c>
      <c r="Q147">
        <v>-600</v>
      </c>
      <c r="R147">
        <v>-1814.6072208845201</v>
      </c>
      <c r="T147">
        <v>-9279</v>
      </c>
      <c r="U147">
        <v>-9412.8093155931492</v>
      </c>
      <c r="V147">
        <v>-15450</v>
      </c>
      <c r="W147">
        <v>8428</v>
      </c>
      <c r="X147">
        <v>2760</v>
      </c>
      <c r="Y147">
        <v>-11984</v>
      </c>
      <c r="Z147">
        <v>-992.92758293156498</v>
      </c>
      <c r="AA147">
        <v>-13754.081966504</v>
      </c>
      <c r="AC147">
        <v>4921</v>
      </c>
      <c r="AD147">
        <v>1638</v>
      </c>
      <c r="AE147">
        <v>7654.0225465169096</v>
      </c>
      <c r="AF147">
        <v>-2769</v>
      </c>
      <c r="AG147">
        <v>10917.947765597401</v>
      </c>
      <c r="AH147">
        <v>-26339.3065366919</v>
      </c>
      <c r="AI147">
        <v>860.71029669153097</v>
      </c>
      <c r="AK147">
        <v>-13349.434610103501</v>
      </c>
      <c r="AL147">
        <v>328.37205658687498</v>
      </c>
      <c r="AM147">
        <v>-5014.4021543992403</v>
      </c>
      <c r="AN147">
        <v>-2284.3423760166802</v>
      </c>
      <c r="AP147">
        <v>-1773</v>
      </c>
      <c r="AQ147">
        <v>9196</v>
      </c>
      <c r="AR147">
        <v>10700</v>
      </c>
      <c r="AS147">
        <v>2508.1177558852701</v>
      </c>
      <c r="AT147">
        <v>-560</v>
      </c>
      <c r="AU147">
        <v>-200</v>
      </c>
      <c r="AV147">
        <v>0</v>
      </c>
      <c r="AW147">
        <v>416</v>
      </c>
      <c r="AX147">
        <v>690</v>
      </c>
      <c r="AY147">
        <v>0</v>
      </c>
      <c r="AZ147">
        <v>0</v>
      </c>
      <c r="BA147">
        <v>2340.4976034949</v>
      </c>
      <c r="BB147">
        <v>5040</v>
      </c>
      <c r="BC147">
        <v>4975</v>
      </c>
      <c r="BE147">
        <f t="shared" si="4"/>
        <v>-88863.011316793811</v>
      </c>
      <c r="BF147">
        <f t="shared" si="5"/>
        <v>43746692.80544614</v>
      </c>
    </row>
    <row r="148" spans="1:58" x14ac:dyDescent="0.2">
      <c r="A148" s="1">
        <v>45392</v>
      </c>
      <c r="B148">
        <v>-6411.5792599388797</v>
      </c>
      <c r="C148">
        <v>4037.08419895211</v>
      </c>
      <c r="D148">
        <v>-624.84609777189701</v>
      </c>
      <c r="E148">
        <v>2766.27925388117</v>
      </c>
      <c r="F148">
        <v>3618.59896015915</v>
      </c>
      <c r="G148">
        <v>-2074.9745160617299</v>
      </c>
      <c r="H148">
        <v>-4501.7268396111103</v>
      </c>
      <c r="I148">
        <v>-572.77345848600498</v>
      </c>
      <c r="J148">
        <v>1248</v>
      </c>
      <c r="L148">
        <v>-4965.2577861464397</v>
      </c>
      <c r="M148">
        <v>5207.0885579013002</v>
      </c>
      <c r="N148">
        <v>-3629.1751999999401</v>
      </c>
      <c r="O148">
        <v>3013.99999999997</v>
      </c>
      <c r="P148">
        <v>1664</v>
      </c>
      <c r="Q148">
        <v>-660</v>
      </c>
      <c r="R148">
        <v>10896.2852257378</v>
      </c>
      <c r="T148">
        <v>7982.71466063968</v>
      </c>
      <c r="U148">
        <v>249.65146630196301</v>
      </c>
      <c r="V148">
        <v>15000</v>
      </c>
      <c r="W148">
        <v>-9042.4893820909801</v>
      </c>
      <c r="X148">
        <v>168</v>
      </c>
      <c r="Y148">
        <v>6160</v>
      </c>
      <c r="Z148">
        <v>-891</v>
      </c>
      <c r="AA148">
        <v>14384.0000000001</v>
      </c>
      <c r="AC148">
        <v>917</v>
      </c>
      <c r="AD148">
        <v>-1352</v>
      </c>
      <c r="AE148">
        <v>-2821</v>
      </c>
      <c r="AF148">
        <v>-1794</v>
      </c>
      <c r="AG148">
        <v>-6162</v>
      </c>
      <c r="AH148">
        <v>12975.732614025201</v>
      </c>
      <c r="AI148">
        <v>1790.7614246619601</v>
      </c>
      <c r="AK148">
        <v>2499.6869999999999</v>
      </c>
      <c r="AL148">
        <v>-8760.1291685228898</v>
      </c>
      <c r="AM148">
        <v>-916.35450645963203</v>
      </c>
      <c r="AN148">
        <v>-1726.3284765598</v>
      </c>
      <c r="AP148">
        <v>-2175.1492268910001</v>
      </c>
      <c r="AQ148">
        <v>-10944</v>
      </c>
      <c r="AR148">
        <v>4280</v>
      </c>
      <c r="AS148">
        <v>-405</v>
      </c>
      <c r="AT148">
        <v>820</v>
      </c>
      <c r="AU148">
        <v>-254.76547354332399</v>
      </c>
      <c r="AV148">
        <v>-207.87865422741299</v>
      </c>
      <c r="AW148">
        <v>14.9924144403774</v>
      </c>
      <c r="AX148">
        <v>995.02288786155395</v>
      </c>
      <c r="AY148">
        <v>10049.242679999799</v>
      </c>
      <c r="AZ148">
        <v>42165.915000000197</v>
      </c>
      <c r="BA148">
        <v>23475.411907841899</v>
      </c>
      <c r="BB148">
        <v>-420</v>
      </c>
      <c r="BC148">
        <v>398</v>
      </c>
      <c r="BE148">
        <f t="shared" si="4"/>
        <v>105465.0402060932</v>
      </c>
      <c r="BF148">
        <f t="shared" si="5"/>
        <v>43852157.84565223</v>
      </c>
    </row>
    <row r="149" spans="1:58" x14ac:dyDescent="0.2">
      <c r="A149" s="1">
        <v>45393</v>
      </c>
      <c r="B149">
        <v>-1141.6668935252701</v>
      </c>
      <c r="C149">
        <v>-1637.4097235010299</v>
      </c>
      <c r="D149">
        <v>992</v>
      </c>
      <c r="E149">
        <v>16281.5510166157</v>
      </c>
      <c r="F149">
        <v>-9244.1428012912602</v>
      </c>
      <c r="G149">
        <v>1025.1363402986599</v>
      </c>
      <c r="H149">
        <v>-11668.8057569552</v>
      </c>
      <c r="I149">
        <v>-2348</v>
      </c>
      <c r="J149">
        <v>2376</v>
      </c>
      <c r="L149">
        <v>-7846.6900859565203</v>
      </c>
      <c r="M149">
        <v>-4096.0058430454401</v>
      </c>
      <c r="N149">
        <v>4869.1807500000004</v>
      </c>
      <c r="O149">
        <v>-1256.6314041579201</v>
      </c>
      <c r="P149">
        <v>208</v>
      </c>
      <c r="Q149">
        <v>-617.06182353013105</v>
      </c>
      <c r="R149">
        <v>3159</v>
      </c>
      <c r="T149">
        <v>-2198</v>
      </c>
      <c r="U149">
        <v>-3635.9420492445902</v>
      </c>
      <c r="V149">
        <v>5850</v>
      </c>
      <c r="W149">
        <v>-13617</v>
      </c>
      <c r="X149">
        <v>1266</v>
      </c>
      <c r="Y149">
        <v>5824</v>
      </c>
      <c r="Z149">
        <v>-989.14480939494194</v>
      </c>
      <c r="AA149">
        <v>5796.99999999994</v>
      </c>
      <c r="AC149">
        <v>-4533.6359244290197</v>
      </c>
      <c r="AD149">
        <v>-1066</v>
      </c>
      <c r="AE149">
        <v>-1547</v>
      </c>
      <c r="AF149">
        <v>2301</v>
      </c>
      <c r="AG149">
        <v>6816</v>
      </c>
      <c r="AH149">
        <v>2721.4711460478202</v>
      </c>
      <c r="AI149">
        <v>7432.3351161876099</v>
      </c>
      <c r="AK149">
        <v>9390.5628749999996</v>
      </c>
      <c r="AL149">
        <v>-343.52786084398798</v>
      </c>
      <c r="AM149">
        <v>5376</v>
      </c>
      <c r="AN149">
        <v>3271.6861404920201</v>
      </c>
      <c r="AP149">
        <v>7286.25057790352</v>
      </c>
      <c r="AQ149">
        <v>-160.83308721143399</v>
      </c>
      <c r="AR149">
        <v>0</v>
      </c>
      <c r="AS149">
        <v>390</v>
      </c>
      <c r="AT149">
        <v>-211.15696917613499</v>
      </c>
      <c r="AU149">
        <v>600</v>
      </c>
      <c r="AV149">
        <v>-29.5798027474561</v>
      </c>
      <c r="AW149">
        <v>933.44641473158595</v>
      </c>
      <c r="AX149">
        <v>-1136.8166172251199</v>
      </c>
      <c r="AY149">
        <v>-2113.3119870420201</v>
      </c>
      <c r="AZ149">
        <v>-1691.8902000001799</v>
      </c>
      <c r="BA149">
        <v>6645.4285650695001</v>
      </c>
      <c r="BB149">
        <v>5551.1731354395297</v>
      </c>
      <c r="BC149">
        <v>-5375.5962414381602</v>
      </c>
      <c r="BE149">
        <f t="shared" si="4"/>
        <v>27857.372197070068</v>
      </c>
      <c r="BF149">
        <f t="shared" si="5"/>
        <v>43880015.217849299</v>
      </c>
    </row>
    <row r="150" spans="1:58" x14ac:dyDescent="0.2">
      <c r="A150" s="1">
        <v>45394</v>
      </c>
      <c r="B150">
        <v>2355.3482645614599</v>
      </c>
      <c r="C150">
        <v>286.40074750372798</v>
      </c>
      <c r="D150">
        <v>656.41186407163104</v>
      </c>
      <c r="E150">
        <v>0</v>
      </c>
      <c r="F150">
        <v>-13952</v>
      </c>
      <c r="G150">
        <v>0</v>
      </c>
      <c r="H150">
        <v>-2699.3929831017199</v>
      </c>
      <c r="I150">
        <v>-3265.8097795417798</v>
      </c>
      <c r="J150">
        <v>192</v>
      </c>
      <c r="L150">
        <v>4882.7815760892199</v>
      </c>
      <c r="M150">
        <v>38737.5999999997</v>
      </c>
      <c r="N150">
        <v>37064.1924800001</v>
      </c>
      <c r="O150">
        <v>-909.43640897322302</v>
      </c>
      <c r="P150">
        <v>1664</v>
      </c>
      <c r="Q150">
        <v>58.941355957541901</v>
      </c>
      <c r="R150">
        <v>1404</v>
      </c>
      <c r="T150">
        <v>-1897</v>
      </c>
      <c r="U150">
        <v>4436.3158479828599</v>
      </c>
      <c r="V150">
        <v>11850</v>
      </c>
      <c r="W150">
        <v>18360</v>
      </c>
      <c r="X150">
        <v>1373.06448897767</v>
      </c>
      <c r="Y150">
        <v>-4713.3623674425498</v>
      </c>
      <c r="Z150">
        <v>1362.72306859783</v>
      </c>
      <c r="AA150">
        <v>12521.648150479899</v>
      </c>
      <c r="AC150">
        <v>-1752</v>
      </c>
      <c r="AD150">
        <v>144.56141108637999</v>
      </c>
      <c r="AE150">
        <v>-6825</v>
      </c>
      <c r="AF150">
        <v>195</v>
      </c>
      <c r="AG150">
        <v>17208</v>
      </c>
      <c r="AH150">
        <v>2976</v>
      </c>
      <c r="AI150">
        <v>-1922.20591189471</v>
      </c>
      <c r="AK150">
        <v>13213.906650000001</v>
      </c>
      <c r="AL150">
        <v>-3374.5834944854701</v>
      </c>
      <c r="AM150">
        <v>-3850.5399710492002</v>
      </c>
      <c r="AN150">
        <v>-2412.3006461352802</v>
      </c>
      <c r="AP150">
        <v>-3348</v>
      </c>
      <c r="AQ150">
        <v>-224.868934243909</v>
      </c>
      <c r="AR150">
        <v>10058</v>
      </c>
      <c r="AS150">
        <v>-550</v>
      </c>
      <c r="AT150">
        <v>-826.36065333914905</v>
      </c>
      <c r="AU150">
        <v>642.54192316265005</v>
      </c>
      <c r="AV150">
        <v>-88.392091226894806</v>
      </c>
      <c r="AW150">
        <v>15.284623505485399</v>
      </c>
      <c r="AX150">
        <v>-952</v>
      </c>
      <c r="AY150">
        <v>0</v>
      </c>
      <c r="AZ150">
        <v>-9530.3300400000808</v>
      </c>
      <c r="BA150">
        <v>1932.3043079916499</v>
      </c>
      <c r="BB150">
        <v>-3181.6271782055201</v>
      </c>
      <c r="BC150">
        <v>1200</v>
      </c>
      <c r="BE150">
        <f t="shared" si="4"/>
        <v>118515.81630032831</v>
      </c>
      <c r="BF150">
        <f t="shared" si="5"/>
        <v>43998531.034149624</v>
      </c>
    </row>
    <row r="151" spans="1:58" x14ac:dyDescent="0.2">
      <c r="A151" s="1">
        <v>45397</v>
      </c>
      <c r="B151">
        <v>2824</v>
      </c>
      <c r="C151">
        <v>-263.04936644785198</v>
      </c>
      <c r="D151">
        <v>2030.7908611820401</v>
      </c>
      <c r="E151">
        <v>30562</v>
      </c>
      <c r="F151">
        <v>7959.6716560995901</v>
      </c>
      <c r="G151">
        <v>0</v>
      </c>
      <c r="H151">
        <v>8436.8655672047007</v>
      </c>
      <c r="I151">
        <v>74.868556382433596</v>
      </c>
      <c r="J151">
        <v>-1992</v>
      </c>
      <c r="L151">
        <v>3263.3041066610899</v>
      </c>
      <c r="M151">
        <v>-42358.400000000198</v>
      </c>
      <c r="N151">
        <v>-36105.950160000102</v>
      </c>
      <c r="O151">
        <v>-3923.99999999999</v>
      </c>
      <c r="P151">
        <v>520</v>
      </c>
      <c r="Q151">
        <v>-2367.2072239161298</v>
      </c>
      <c r="R151">
        <v>1379.90784074062</v>
      </c>
      <c r="T151">
        <v>1048.3077701678301</v>
      </c>
      <c r="U151">
        <v>8030</v>
      </c>
      <c r="V151">
        <v>8850</v>
      </c>
      <c r="W151">
        <v>-6375</v>
      </c>
      <c r="X151">
        <v>-188.473426702642</v>
      </c>
      <c r="Y151">
        <v>39145.200163513698</v>
      </c>
      <c r="Z151">
        <v>266</v>
      </c>
      <c r="AA151">
        <v>8497.9612608852894</v>
      </c>
      <c r="AC151">
        <v>-11704</v>
      </c>
      <c r="AD151">
        <v>-2909.70573204724</v>
      </c>
      <c r="AE151">
        <v>581.13664310495699</v>
      </c>
      <c r="AF151">
        <v>2457</v>
      </c>
      <c r="AG151">
        <v>-4965</v>
      </c>
      <c r="AH151">
        <v>4464</v>
      </c>
      <c r="AI151">
        <v>192.92858097793999</v>
      </c>
      <c r="AK151">
        <v>-672.45100577924802</v>
      </c>
      <c r="AL151">
        <v>-799.470949357927</v>
      </c>
      <c r="AM151">
        <v>1892</v>
      </c>
      <c r="AN151">
        <v>3080</v>
      </c>
      <c r="AP151">
        <v>5580</v>
      </c>
      <c r="AQ151">
        <v>-2416.9249601106799</v>
      </c>
      <c r="AR151">
        <v>-12244.178607849501</v>
      </c>
      <c r="AS151">
        <v>-789</v>
      </c>
      <c r="AT151">
        <v>294</v>
      </c>
      <c r="AU151">
        <v>8461.8419085748392</v>
      </c>
      <c r="AV151">
        <v>0</v>
      </c>
      <c r="AW151">
        <v>-732.84411879199695</v>
      </c>
      <c r="AX151">
        <v>1743</v>
      </c>
      <c r="AY151">
        <v>0</v>
      </c>
      <c r="AZ151">
        <v>12500.549160000101</v>
      </c>
      <c r="BA151">
        <v>35335.776747142801</v>
      </c>
      <c r="BB151">
        <v>453.165323179251</v>
      </c>
      <c r="BC151">
        <v>-1800</v>
      </c>
      <c r="BE151">
        <f t="shared" si="4"/>
        <v>67316.620594813663</v>
      </c>
      <c r="BF151">
        <f t="shared" si="5"/>
        <v>44065847.654744439</v>
      </c>
    </row>
    <row r="152" spans="1:58" x14ac:dyDescent="0.2">
      <c r="A152" s="1">
        <v>45398</v>
      </c>
      <c r="B152">
        <v>2256</v>
      </c>
      <c r="C152">
        <v>-3529.0441226438002</v>
      </c>
      <c r="D152">
        <v>-232.57152774037601</v>
      </c>
      <c r="E152">
        <v>-7036.0839947557097</v>
      </c>
      <c r="F152">
        <v>0</v>
      </c>
      <c r="G152">
        <v>-4.9486888978313797</v>
      </c>
      <c r="H152">
        <v>-14157.159744000001</v>
      </c>
      <c r="I152">
        <v>-3205.7195258081802</v>
      </c>
      <c r="J152">
        <v>-264</v>
      </c>
      <c r="L152">
        <v>434</v>
      </c>
      <c r="M152">
        <v>41674.623606195397</v>
      </c>
      <c r="N152">
        <v>22441.423964564299</v>
      </c>
      <c r="O152">
        <v>1763.99999999998</v>
      </c>
      <c r="P152">
        <v>-2704</v>
      </c>
      <c r="Q152">
        <v>1890</v>
      </c>
      <c r="R152">
        <v>-3369.1132871086202</v>
      </c>
      <c r="T152">
        <v>-550</v>
      </c>
      <c r="U152">
        <v>-1971</v>
      </c>
      <c r="V152">
        <v>-8571.2230371085898</v>
      </c>
      <c r="W152">
        <v>-2346</v>
      </c>
      <c r="X152">
        <v>1385.6611904727399</v>
      </c>
      <c r="Y152">
        <v>45666</v>
      </c>
      <c r="Z152">
        <v>98</v>
      </c>
      <c r="AA152">
        <v>-8257.0265963619804</v>
      </c>
      <c r="AC152">
        <v>10976</v>
      </c>
      <c r="AD152">
        <v>201.82271458311899</v>
      </c>
      <c r="AE152">
        <v>4362.7283363467204</v>
      </c>
      <c r="AF152">
        <v>-3798.0341018081999</v>
      </c>
      <c r="AG152">
        <v>3435</v>
      </c>
      <c r="AH152">
        <v>15810</v>
      </c>
      <c r="AI152">
        <v>-213.57132198306999</v>
      </c>
      <c r="AK152">
        <v>-21753.239853048999</v>
      </c>
      <c r="AL152">
        <v>3452.6978609515199</v>
      </c>
      <c r="AM152">
        <v>3843.6497067017399</v>
      </c>
      <c r="AN152">
        <v>607.45612371857203</v>
      </c>
      <c r="AP152">
        <v>-4650</v>
      </c>
      <c r="AQ152">
        <v>-3727.5004108276999</v>
      </c>
      <c r="AR152">
        <v>-9996</v>
      </c>
      <c r="AS152">
        <v>-415.02953229071699</v>
      </c>
      <c r="AT152">
        <v>539</v>
      </c>
      <c r="AU152">
        <v>-7692.6492354658203</v>
      </c>
      <c r="AV152">
        <v>513</v>
      </c>
      <c r="AW152">
        <v>-510.91720079106801</v>
      </c>
      <c r="AX152">
        <v>6412</v>
      </c>
      <c r="AY152">
        <v>0</v>
      </c>
      <c r="AZ152">
        <v>0</v>
      </c>
      <c r="BA152">
        <v>-4006.1329600006202</v>
      </c>
      <c r="BB152">
        <v>-3169.1967193721598</v>
      </c>
      <c r="BC152">
        <v>1200</v>
      </c>
      <c r="BE152">
        <f t="shared" si="4"/>
        <v>52832.901643520636</v>
      </c>
      <c r="BF152">
        <f t="shared" si="5"/>
        <v>44118680.556387961</v>
      </c>
    </row>
    <row r="153" spans="1:58" x14ac:dyDescent="0.2">
      <c r="A153" s="1">
        <v>45399</v>
      </c>
      <c r="B153">
        <v>9560</v>
      </c>
      <c r="C153">
        <v>-1110.73661417826</v>
      </c>
      <c r="D153">
        <v>2153.43870873384</v>
      </c>
      <c r="E153">
        <v>266</v>
      </c>
      <c r="F153">
        <v>22100</v>
      </c>
      <c r="G153">
        <v>-211.577586711599</v>
      </c>
      <c r="H153">
        <v>482.04108197104699</v>
      </c>
      <c r="I153">
        <v>1296</v>
      </c>
      <c r="J153">
        <v>-552</v>
      </c>
      <c r="L153">
        <v>-2697</v>
      </c>
      <c r="M153">
        <v>-4237.6330617310496</v>
      </c>
      <c r="N153">
        <v>2667.2893500001201</v>
      </c>
      <c r="O153">
        <v>-1728</v>
      </c>
      <c r="P153">
        <v>-1768</v>
      </c>
      <c r="Q153">
        <v>700</v>
      </c>
      <c r="R153">
        <v>5754</v>
      </c>
      <c r="T153">
        <v>-2800.7178384854801</v>
      </c>
      <c r="U153">
        <v>-876</v>
      </c>
      <c r="V153">
        <v>-8575</v>
      </c>
      <c r="W153">
        <v>-6171</v>
      </c>
      <c r="X153">
        <v>718.90189818078602</v>
      </c>
      <c r="Y153">
        <v>-11505</v>
      </c>
      <c r="Z153">
        <v>111.45384623337</v>
      </c>
      <c r="AA153">
        <v>-8728.4999999997399</v>
      </c>
      <c r="AC153">
        <v>10640</v>
      </c>
      <c r="AD153">
        <v>679.99015948566296</v>
      </c>
      <c r="AE153">
        <v>1344</v>
      </c>
      <c r="AF153">
        <v>-8170</v>
      </c>
      <c r="AG153">
        <v>-4767</v>
      </c>
      <c r="AH153">
        <v>-5952</v>
      </c>
      <c r="AI153">
        <v>-6309.0350094832102</v>
      </c>
      <c r="AK153">
        <v>2218.1892489225902</v>
      </c>
      <c r="AL153">
        <v>-216</v>
      </c>
      <c r="AM153">
        <v>-12066.1762127565</v>
      </c>
      <c r="AN153">
        <v>-10814.269618747599</v>
      </c>
      <c r="AP153">
        <v>2046</v>
      </c>
      <c r="AQ153">
        <v>2658.8958526972001</v>
      </c>
      <c r="AR153">
        <v>-23800</v>
      </c>
      <c r="AS153">
        <v>-744.61656370590799</v>
      </c>
      <c r="AT153">
        <v>490</v>
      </c>
      <c r="AU153">
        <v>-116</v>
      </c>
      <c r="AV153">
        <v>-941.12923437654501</v>
      </c>
      <c r="AW153">
        <v>2691.1556688625101</v>
      </c>
      <c r="AX153">
        <v>-3386.7274501079801</v>
      </c>
      <c r="AY153">
        <v>24202.9092000003</v>
      </c>
      <c r="AZ153">
        <v>-6090.2641800000802</v>
      </c>
      <c r="BA153">
        <v>250.15658000048299</v>
      </c>
      <c r="BB153">
        <v>960</v>
      </c>
      <c r="BC153">
        <v>-1000</v>
      </c>
      <c r="BE153">
        <f t="shared" si="4"/>
        <v>-41343.961775196047</v>
      </c>
      <c r="BF153">
        <f t="shared" si="5"/>
        <v>44077336.594612762</v>
      </c>
    </row>
    <row r="154" spans="1:58" x14ac:dyDescent="0.2">
      <c r="A154" s="1">
        <v>45400</v>
      </c>
      <c r="B154">
        <v>-1272</v>
      </c>
      <c r="C154">
        <v>687.80594763393299</v>
      </c>
      <c r="D154">
        <v>-1859.45954796761</v>
      </c>
      <c r="E154">
        <v>-6656.1196151361</v>
      </c>
      <c r="F154">
        <v>500</v>
      </c>
      <c r="G154">
        <v>-2516.9850701717301</v>
      </c>
      <c r="H154">
        <v>1221.4280302196501</v>
      </c>
      <c r="I154">
        <v>3300</v>
      </c>
      <c r="J154">
        <v>2592</v>
      </c>
      <c r="L154">
        <v>-1674</v>
      </c>
      <c r="M154">
        <v>-13647.4233885636</v>
      </c>
      <c r="N154">
        <v>-4985.9326000001702</v>
      </c>
      <c r="O154">
        <v>-4807.9745412129396</v>
      </c>
      <c r="P154">
        <v>-1040</v>
      </c>
      <c r="Q154">
        <v>-350</v>
      </c>
      <c r="R154">
        <v>-16088.965017738399</v>
      </c>
      <c r="T154">
        <v>-170.79917160024499</v>
      </c>
      <c r="U154">
        <v>3137.0793605258</v>
      </c>
      <c r="V154">
        <v>2450</v>
      </c>
      <c r="W154">
        <v>725.57334130300001</v>
      </c>
      <c r="X154">
        <v>3001.95975416599</v>
      </c>
      <c r="Y154">
        <v>-889.93399469768406</v>
      </c>
      <c r="Z154">
        <v>-435.265849741343</v>
      </c>
      <c r="AA154">
        <v>2242.5</v>
      </c>
      <c r="AC154">
        <v>-1440</v>
      </c>
      <c r="AD154">
        <v>688</v>
      </c>
      <c r="AE154">
        <v>-3970.3047058259199</v>
      </c>
      <c r="AF154">
        <v>4429</v>
      </c>
      <c r="AG154">
        <v>-2508</v>
      </c>
      <c r="AH154">
        <v>6696</v>
      </c>
      <c r="AI154">
        <v>2160</v>
      </c>
      <c r="AK154">
        <v>11980.429024843999</v>
      </c>
      <c r="AL154">
        <v>-1044</v>
      </c>
      <c r="AM154">
        <v>9823</v>
      </c>
      <c r="AN154">
        <v>10622</v>
      </c>
      <c r="AP154">
        <v>-12090</v>
      </c>
      <c r="AQ154">
        <v>8799.0660116221497</v>
      </c>
      <c r="AR154">
        <v>7725.0890808918302</v>
      </c>
      <c r="AS154">
        <v>516</v>
      </c>
      <c r="AT154">
        <v>398.10799867202002</v>
      </c>
      <c r="AU154">
        <v>-116</v>
      </c>
      <c r="AV154">
        <v>406</v>
      </c>
      <c r="AW154">
        <v>1423.7692520954799</v>
      </c>
      <c r="AX154">
        <v>-6680</v>
      </c>
      <c r="AY154">
        <v>-8600.4988855865995</v>
      </c>
      <c r="AZ154">
        <v>2039.2693200001499</v>
      </c>
      <c r="BA154">
        <v>-5080.8163291098499</v>
      </c>
      <c r="BB154">
        <v>6229.9082759176999</v>
      </c>
      <c r="BC154">
        <v>1600</v>
      </c>
      <c r="BE154">
        <f t="shared" si="4"/>
        <v>-2530.4933194604782</v>
      </c>
      <c r="BF154">
        <f t="shared" si="5"/>
        <v>44074806.101293303</v>
      </c>
    </row>
    <row r="155" spans="1:58" x14ac:dyDescent="0.2">
      <c r="A155" s="1">
        <v>45401</v>
      </c>
      <c r="B155">
        <v>-504</v>
      </c>
      <c r="C155">
        <v>-2627.1681455335602</v>
      </c>
      <c r="D155">
        <v>-3129</v>
      </c>
      <c r="E155">
        <v>5607</v>
      </c>
      <c r="F155">
        <v>9917.0703368050799</v>
      </c>
      <c r="G155">
        <v>-3609.99999999995</v>
      </c>
      <c r="H155">
        <v>-3024.4055920000001</v>
      </c>
      <c r="I155">
        <v>2940</v>
      </c>
      <c r="J155">
        <v>-654.76855464825803</v>
      </c>
      <c r="L155">
        <v>-4402</v>
      </c>
      <c r="M155">
        <v>-6873.8376357325496</v>
      </c>
      <c r="N155">
        <v>3301.3470000000002</v>
      </c>
      <c r="O155">
        <v>-2675.9169746644102</v>
      </c>
      <c r="P155">
        <v>3640</v>
      </c>
      <c r="Q155">
        <v>280</v>
      </c>
      <c r="R155">
        <v>1217.15313490577</v>
      </c>
      <c r="T155">
        <v>46.516226407282304</v>
      </c>
      <c r="U155">
        <v>6191.0668463603397</v>
      </c>
      <c r="V155">
        <v>8925</v>
      </c>
      <c r="W155">
        <v>-6314.2305870587797</v>
      </c>
      <c r="X155">
        <v>-2593.940784076</v>
      </c>
      <c r="Y155">
        <v>10034</v>
      </c>
      <c r="Z155">
        <v>-560</v>
      </c>
      <c r="AA155">
        <v>9625.4999999998709</v>
      </c>
      <c r="AC155">
        <v>4867.0058680598304</v>
      </c>
      <c r="AD155">
        <v>-424</v>
      </c>
      <c r="AE155">
        <v>567</v>
      </c>
      <c r="AF155">
        <v>-860</v>
      </c>
      <c r="AG155">
        <v>2703</v>
      </c>
      <c r="AH155">
        <v>4464</v>
      </c>
      <c r="AI155">
        <v>-10584</v>
      </c>
      <c r="AK155">
        <v>13677.009</v>
      </c>
      <c r="AL155">
        <v>828</v>
      </c>
      <c r="AM155">
        <v>-5358</v>
      </c>
      <c r="AN155">
        <v>-5029</v>
      </c>
      <c r="AP155">
        <v>529.19185484837703</v>
      </c>
      <c r="AQ155">
        <v>1378</v>
      </c>
      <c r="AR155">
        <v>-1045.62860266589</v>
      </c>
      <c r="AS155">
        <v>5660</v>
      </c>
      <c r="AT155">
        <v>259.85291551232001</v>
      </c>
      <c r="AU155">
        <v>8932</v>
      </c>
      <c r="AV155">
        <v>0</v>
      </c>
      <c r="AW155">
        <v>-1575.1934605425899</v>
      </c>
      <c r="AX155">
        <v>-4987.7822779063599</v>
      </c>
      <c r="AY155">
        <v>0</v>
      </c>
      <c r="AZ155">
        <v>0</v>
      </c>
      <c r="BA155">
        <v>12033.602699999899</v>
      </c>
      <c r="BB155">
        <v>1572.2409142690101</v>
      </c>
      <c r="BC155">
        <v>-400</v>
      </c>
      <c r="BE155">
        <f t="shared" si="4"/>
        <v>51962.684182339428</v>
      </c>
      <c r="BF155">
        <f t="shared" si="5"/>
        <v>44126768.785475641</v>
      </c>
    </row>
    <row r="156" spans="1:58" x14ac:dyDescent="0.2">
      <c r="A156" s="1">
        <v>45404</v>
      </c>
      <c r="B156">
        <v>11016</v>
      </c>
      <c r="C156">
        <v>-3948</v>
      </c>
      <c r="D156">
        <v>-4172</v>
      </c>
      <c r="E156">
        <v>-5073</v>
      </c>
      <c r="F156">
        <v>-21864.0345619279</v>
      </c>
      <c r="G156">
        <v>831.769764676048</v>
      </c>
      <c r="H156">
        <v>5659.3482494734499</v>
      </c>
      <c r="I156">
        <v>517.15736308313103</v>
      </c>
      <c r="J156">
        <v>-2005.3749559058299</v>
      </c>
      <c r="L156">
        <v>4091.78053509239</v>
      </c>
      <c r="M156">
        <v>-27035.6792433585</v>
      </c>
      <c r="N156">
        <v>-21070.922949999898</v>
      </c>
      <c r="O156">
        <v>-186.721113789491</v>
      </c>
      <c r="P156">
        <v>2912</v>
      </c>
      <c r="Q156">
        <v>0</v>
      </c>
      <c r="R156">
        <v>-3667.8223926166202</v>
      </c>
      <c r="T156">
        <v>-35.382780979023401</v>
      </c>
      <c r="U156">
        <v>-896.77057622608095</v>
      </c>
      <c r="V156">
        <v>-3325</v>
      </c>
      <c r="W156">
        <v>992.63811994965295</v>
      </c>
      <c r="X156">
        <v>3434</v>
      </c>
      <c r="Y156">
        <v>1972</v>
      </c>
      <c r="Z156">
        <v>-980</v>
      </c>
      <c r="AA156">
        <v>-4002.0000000001201</v>
      </c>
      <c r="AC156">
        <v>12546</v>
      </c>
      <c r="AD156">
        <v>-248</v>
      </c>
      <c r="AE156">
        <v>4369.6468067914202</v>
      </c>
      <c r="AF156">
        <v>1927.49882414386</v>
      </c>
      <c r="AG156">
        <v>-13041</v>
      </c>
      <c r="AH156">
        <v>-1694.2788525522001</v>
      </c>
      <c r="AI156">
        <v>6264</v>
      </c>
      <c r="AK156">
        <v>-2032.339575</v>
      </c>
      <c r="AL156">
        <v>-732</v>
      </c>
      <c r="AM156">
        <v>23782</v>
      </c>
      <c r="AN156">
        <v>25850</v>
      </c>
      <c r="AP156">
        <v>3166.47566854754</v>
      </c>
      <c r="AQ156">
        <v>4081</v>
      </c>
      <c r="AR156">
        <v>-12553.731682157801</v>
      </c>
      <c r="AS156">
        <v>3784.1553785211099</v>
      </c>
      <c r="AT156">
        <v>-1614.85702578153</v>
      </c>
      <c r="AU156">
        <v>-14866.149512731299</v>
      </c>
      <c r="AV156">
        <v>0</v>
      </c>
      <c r="AW156">
        <v>-1841.15036187233</v>
      </c>
      <c r="AX156">
        <v>339.68816513890403</v>
      </c>
      <c r="AY156">
        <v>0</v>
      </c>
      <c r="AZ156">
        <v>0</v>
      </c>
      <c r="BA156">
        <v>23516.454890169</v>
      </c>
      <c r="BB156">
        <v>-1202.28443285547</v>
      </c>
      <c r="BC156">
        <v>-1805.0793656671201</v>
      </c>
      <c r="BE156">
        <f t="shared" si="4"/>
        <v>-8839.9656178347032</v>
      </c>
      <c r="BF156">
        <f t="shared" si="5"/>
        <v>44117928.819857806</v>
      </c>
    </row>
    <row r="157" spans="1:58" x14ac:dyDescent="0.2">
      <c r="A157" s="1">
        <v>45405</v>
      </c>
      <c r="B157">
        <v>-1424</v>
      </c>
      <c r="C157">
        <v>4324</v>
      </c>
      <c r="D157">
        <v>3231.8503625326398</v>
      </c>
      <c r="E157">
        <v>-5073</v>
      </c>
      <c r="F157">
        <v>9436.6806404978906</v>
      </c>
      <c r="G157">
        <v>391.26482391940601</v>
      </c>
      <c r="H157">
        <v>9828.5163900000007</v>
      </c>
      <c r="I157">
        <v>-1429.3296931642601</v>
      </c>
      <c r="J157">
        <v>4185</v>
      </c>
      <c r="L157">
        <v>3626</v>
      </c>
      <c r="M157">
        <v>-11989.511967451899</v>
      </c>
      <c r="N157">
        <v>-8003.0485315880096</v>
      </c>
      <c r="O157">
        <v>745.42359130555701</v>
      </c>
      <c r="P157">
        <v>12015.0514180511</v>
      </c>
      <c r="Q157">
        <v>1260</v>
      </c>
      <c r="R157">
        <v>16175.453284852199</v>
      </c>
      <c r="T157">
        <v>1374.1237292126</v>
      </c>
      <c r="U157">
        <v>3211.0321963972201</v>
      </c>
      <c r="V157">
        <v>-34125</v>
      </c>
      <c r="W157">
        <v>-6655.0527758116996</v>
      </c>
      <c r="X157">
        <v>5588.1288175338505</v>
      </c>
      <c r="Y157">
        <v>-20706</v>
      </c>
      <c r="Z157">
        <v>-3500</v>
      </c>
      <c r="AA157">
        <v>-34051.499999999898</v>
      </c>
      <c r="AC157">
        <v>8434.22249342756</v>
      </c>
      <c r="AD157">
        <v>48</v>
      </c>
      <c r="AE157">
        <v>1980</v>
      </c>
      <c r="AF157">
        <v>-6396</v>
      </c>
      <c r="AG157">
        <v>-6780</v>
      </c>
      <c r="AH157">
        <v>-7419.0156275715799</v>
      </c>
      <c r="AI157">
        <v>1080</v>
      </c>
      <c r="AK157">
        <v>-16286.576809721801</v>
      </c>
      <c r="AL157">
        <v>-432</v>
      </c>
      <c r="AM157">
        <v>-16168</v>
      </c>
      <c r="AN157">
        <v>-24816</v>
      </c>
      <c r="AP157">
        <v>1368</v>
      </c>
      <c r="AQ157">
        <v>-2820.6678676740498</v>
      </c>
      <c r="AR157">
        <v>13198.754468258199</v>
      </c>
      <c r="AS157">
        <v>-8338.3882529636103</v>
      </c>
      <c r="AT157">
        <v>1536</v>
      </c>
      <c r="AU157">
        <v>-1297.5933749164601</v>
      </c>
      <c r="AV157">
        <v>0</v>
      </c>
      <c r="AW157">
        <v>4025</v>
      </c>
      <c r="AX157">
        <v>-932.51504144304397</v>
      </c>
      <c r="AY157">
        <v>0</v>
      </c>
      <c r="AZ157">
        <v>-2375.8765800001102</v>
      </c>
      <c r="BA157">
        <v>-35674.6841798479</v>
      </c>
      <c r="BB157">
        <v>2204.6919262336801</v>
      </c>
      <c r="BC157">
        <v>-9552.3771125287494</v>
      </c>
      <c r="BE157">
        <f t="shared" si="4"/>
        <v>-156978.94367246117</v>
      </c>
      <c r="BF157">
        <f t="shared" si="5"/>
        <v>43960949.876185343</v>
      </c>
    </row>
    <row r="158" spans="1:58" x14ac:dyDescent="0.2">
      <c r="A158" s="1">
        <v>45406</v>
      </c>
      <c r="B158">
        <v>-6056</v>
      </c>
      <c r="C158">
        <v>1222</v>
      </c>
      <c r="D158">
        <v>-127</v>
      </c>
      <c r="E158">
        <v>23763</v>
      </c>
      <c r="F158">
        <v>13552</v>
      </c>
      <c r="G158">
        <v>2304.5549638816601</v>
      </c>
      <c r="H158">
        <v>-1354.342224</v>
      </c>
      <c r="I158">
        <v>9348</v>
      </c>
      <c r="J158">
        <v>3175.9126409158598</v>
      </c>
      <c r="L158">
        <v>516.15402868810395</v>
      </c>
      <c r="M158">
        <v>-1613.49069347828</v>
      </c>
      <c r="N158">
        <v>1396.6230038539099</v>
      </c>
      <c r="O158">
        <v>-443.31710750428402</v>
      </c>
      <c r="P158">
        <v>-3076.4744217764101</v>
      </c>
      <c r="Q158">
        <v>386.13929530448303</v>
      </c>
      <c r="R158">
        <v>5966</v>
      </c>
      <c r="T158">
        <v>-2234.8214963897199</v>
      </c>
      <c r="U158">
        <v>-7190.8590192484198</v>
      </c>
      <c r="V158">
        <v>1007.46560837379</v>
      </c>
      <c r="W158">
        <v>-6905.1765423329998</v>
      </c>
      <c r="X158">
        <v>-6397.6383834595199</v>
      </c>
      <c r="Y158">
        <v>-45651.095214473498</v>
      </c>
      <c r="Z158">
        <v>-1662.7208376349199</v>
      </c>
      <c r="AA158">
        <v>312.106899214598</v>
      </c>
      <c r="AC158">
        <v>1970</v>
      </c>
      <c r="AD158">
        <v>1120</v>
      </c>
      <c r="AE158">
        <v>1054.67520450606</v>
      </c>
      <c r="AF158">
        <v>1140.2695488356801</v>
      </c>
      <c r="AG158">
        <v>-3947.06198529618</v>
      </c>
      <c r="AH158">
        <v>-10746</v>
      </c>
      <c r="AI158">
        <v>0</v>
      </c>
      <c r="AK158">
        <v>9395.1289250000009</v>
      </c>
      <c r="AL158">
        <v>-324</v>
      </c>
      <c r="AM158">
        <v>-7426</v>
      </c>
      <c r="AN158">
        <v>-1692</v>
      </c>
      <c r="AP158">
        <v>-9120</v>
      </c>
      <c r="AQ158">
        <v>2505.0891631084601</v>
      </c>
      <c r="AR158">
        <v>-3509</v>
      </c>
      <c r="AS158">
        <v>-4032</v>
      </c>
      <c r="AT158">
        <v>3283.9255636624198</v>
      </c>
      <c r="AU158">
        <v>-3426.4679889212198</v>
      </c>
      <c r="AV158">
        <v>0</v>
      </c>
      <c r="AW158">
        <v>1363.66986958435</v>
      </c>
      <c r="AX158">
        <v>-26.4949564497206</v>
      </c>
      <c r="AY158">
        <v>0</v>
      </c>
      <c r="AZ158">
        <v>6758.8685999999998</v>
      </c>
      <c r="BA158">
        <v>12114.7492453299</v>
      </c>
      <c r="BB158">
        <v>9154.2203493297402</v>
      </c>
      <c r="BC158">
        <v>-15133.953983650399</v>
      </c>
      <c r="BE158">
        <f t="shared" si="4"/>
        <v>-29285.361945026543</v>
      </c>
      <c r="BF158">
        <f t="shared" si="5"/>
        <v>43931664.514240317</v>
      </c>
    </row>
    <row r="159" spans="1:58" x14ac:dyDescent="0.2">
      <c r="A159" s="1">
        <v>45407</v>
      </c>
      <c r="B159">
        <v>-144</v>
      </c>
      <c r="C159">
        <v>988.02248487695897</v>
      </c>
      <c r="D159">
        <v>-1397</v>
      </c>
      <c r="E159">
        <v>6141</v>
      </c>
      <c r="F159">
        <v>1120</v>
      </c>
      <c r="G159">
        <v>-864.34839658758301</v>
      </c>
      <c r="H159">
        <v>-7814.5350410000001</v>
      </c>
      <c r="I159">
        <v>-1349.23789289819</v>
      </c>
      <c r="J159">
        <v>269.83502811595798</v>
      </c>
      <c r="L159">
        <v>339.759133432515</v>
      </c>
      <c r="M159">
        <v>-196.66581015429099</v>
      </c>
      <c r="N159">
        <v>-149.266879999949</v>
      </c>
      <c r="O159">
        <v>1637.6482347655499</v>
      </c>
      <c r="P159">
        <v>8600.4208025380904</v>
      </c>
      <c r="Q159">
        <v>296.24726350705402</v>
      </c>
      <c r="R159">
        <v>-5180.7415300288503</v>
      </c>
      <c r="T159">
        <v>4248</v>
      </c>
      <c r="U159">
        <v>2356</v>
      </c>
      <c r="V159">
        <v>3125</v>
      </c>
      <c r="W159">
        <v>11694.7277228444</v>
      </c>
      <c r="X159">
        <v>9760</v>
      </c>
      <c r="Y159">
        <v>939.65928760993995</v>
      </c>
      <c r="Z159">
        <v>36.740816666109801</v>
      </c>
      <c r="AA159">
        <v>4136.1020656567498</v>
      </c>
      <c r="AC159">
        <v>7887.5410651435805</v>
      </c>
      <c r="AD159">
        <v>-105.418377013743</v>
      </c>
      <c r="AE159">
        <v>3169.8541969246098</v>
      </c>
      <c r="AF159">
        <v>1836.78254373545</v>
      </c>
      <c r="AG159">
        <v>3068</v>
      </c>
      <c r="AH159">
        <v>18507</v>
      </c>
      <c r="AI159">
        <v>2160</v>
      </c>
      <c r="AK159">
        <v>3615.0572499999998</v>
      </c>
      <c r="AL159">
        <v>-1140</v>
      </c>
      <c r="AM159">
        <v>5076</v>
      </c>
      <c r="AN159">
        <v>606.71382612076195</v>
      </c>
      <c r="AP159">
        <v>16689.7243230001</v>
      </c>
      <c r="AQ159">
        <v>617.68571160550403</v>
      </c>
      <c r="AR159">
        <v>3630</v>
      </c>
      <c r="AS159">
        <v>434</v>
      </c>
      <c r="AT159">
        <v>-2669.1171806371599</v>
      </c>
      <c r="AU159">
        <v>250.06723860584299</v>
      </c>
      <c r="AV159">
        <v>0</v>
      </c>
      <c r="AW159">
        <v>-1616.64378610316</v>
      </c>
      <c r="AX159">
        <v>174.786404098904</v>
      </c>
      <c r="AY159">
        <v>0</v>
      </c>
      <c r="AZ159">
        <v>8955.9796227467705</v>
      </c>
      <c r="BA159">
        <v>18661.975920000699</v>
      </c>
      <c r="BB159">
        <v>-8868.0034966715702</v>
      </c>
      <c r="BC159">
        <v>12672.116577688599</v>
      </c>
      <c r="BE159">
        <f t="shared" si="4"/>
        <v>132207.46912858964</v>
      </c>
      <c r="BF159">
        <f t="shared" si="5"/>
        <v>44063871.983368903</v>
      </c>
    </row>
    <row r="160" spans="1:58" x14ac:dyDescent="0.2">
      <c r="A160" s="1">
        <v>45408</v>
      </c>
      <c r="B160">
        <v>-200</v>
      </c>
      <c r="C160">
        <v>-6987.6381473466199</v>
      </c>
      <c r="D160">
        <v>629.009553818369</v>
      </c>
      <c r="E160">
        <v>-6675</v>
      </c>
      <c r="F160">
        <v>8848</v>
      </c>
      <c r="G160">
        <v>1255.45706063944</v>
      </c>
      <c r="H160">
        <v>9065.2664700000005</v>
      </c>
      <c r="I160">
        <v>-1260.5732835333899</v>
      </c>
      <c r="J160">
        <v>-12113.5677566411</v>
      </c>
      <c r="L160">
        <v>-4250.9150900350896</v>
      </c>
      <c r="M160">
        <v>3157.1946384376702</v>
      </c>
      <c r="N160">
        <v>1757.6101999999901</v>
      </c>
      <c r="O160">
        <v>814.96048136367597</v>
      </c>
      <c r="P160">
        <v>-2013.36618509084</v>
      </c>
      <c r="Q160">
        <v>1024.76091576559</v>
      </c>
      <c r="R160">
        <v>5320</v>
      </c>
      <c r="T160">
        <v>12787.3910676584</v>
      </c>
      <c r="U160">
        <v>15990.2924359709</v>
      </c>
      <c r="V160">
        <v>11250</v>
      </c>
      <c r="W160">
        <v>14280</v>
      </c>
      <c r="X160">
        <v>11538.180911314699</v>
      </c>
      <c r="Y160">
        <v>-1020.25217932397</v>
      </c>
      <c r="Z160">
        <v>-8395.7157302527503</v>
      </c>
      <c r="AA160">
        <v>11299.3135366508</v>
      </c>
      <c r="AC160">
        <v>10100.6772139943</v>
      </c>
      <c r="AD160">
        <v>-635.314783430273</v>
      </c>
      <c r="AE160">
        <v>2506.20788658734</v>
      </c>
      <c r="AF160">
        <v>-3775</v>
      </c>
      <c r="AG160">
        <v>1904</v>
      </c>
      <c r="AH160">
        <v>7363</v>
      </c>
      <c r="AI160">
        <v>19857.255505325898</v>
      </c>
      <c r="AK160">
        <v>7886.1194499999901</v>
      </c>
      <c r="AL160">
        <v>-156.67478962226301</v>
      </c>
      <c r="AM160">
        <v>-799</v>
      </c>
      <c r="AN160">
        <v>1743.7274980499301</v>
      </c>
      <c r="AP160">
        <v>-266</v>
      </c>
      <c r="AQ160">
        <v>1338.9549184672001</v>
      </c>
      <c r="AR160">
        <v>4114</v>
      </c>
      <c r="AS160">
        <v>8139.3781433304102</v>
      </c>
      <c r="AT160">
        <v>-10860</v>
      </c>
      <c r="AU160">
        <v>-107.61771800575499</v>
      </c>
      <c r="AV160">
        <v>0</v>
      </c>
      <c r="AW160">
        <v>-3117.6500537103898</v>
      </c>
      <c r="AX160">
        <v>-1636.3384496189201</v>
      </c>
      <c r="AY160">
        <v>0</v>
      </c>
      <c r="AZ160">
        <v>-14903.076766629199</v>
      </c>
      <c r="BA160">
        <v>42141.553159998897</v>
      </c>
      <c r="BB160">
        <v>24168</v>
      </c>
      <c r="BC160">
        <v>3360</v>
      </c>
      <c r="BE160">
        <f t="shared" si="4"/>
        <v>164466.61011413296</v>
      </c>
      <c r="BF160">
        <f t="shared" si="5"/>
        <v>44228338.593483038</v>
      </c>
    </row>
    <row r="161" spans="1:58" x14ac:dyDescent="0.2">
      <c r="A161" s="1">
        <v>45411</v>
      </c>
      <c r="B161">
        <v>3088</v>
      </c>
      <c r="C161">
        <v>2925</v>
      </c>
      <c r="D161">
        <v>496</v>
      </c>
      <c r="E161">
        <v>11481</v>
      </c>
      <c r="F161">
        <v>-4786.7525751802496</v>
      </c>
      <c r="G161">
        <v>-7890.6276485122198</v>
      </c>
      <c r="H161">
        <v>1243.96263</v>
      </c>
      <c r="I161">
        <v>-9299.5598202839192</v>
      </c>
      <c r="J161">
        <v>-21446.2375091002</v>
      </c>
      <c r="L161">
        <v>3531</v>
      </c>
      <c r="M161">
        <v>491.70493762139398</v>
      </c>
      <c r="N161">
        <v>-110.134919999983</v>
      </c>
      <c r="O161">
        <v>-5161.7663442636904</v>
      </c>
      <c r="P161">
        <v>-3409.15534678825</v>
      </c>
      <c r="Q161">
        <v>-393.54746191877302</v>
      </c>
      <c r="R161">
        <v>5190.1505407332397</v>
      </c>
      <c r="T161">
        <v>602.01108898856205</v>
      </c>
      <c r="U161">
        <v>6579.33310073553</v>
      </c>
      <c r="V161">
        <v>4500</v>
      </c>
      <c r="W161">
        <v>6916.8779505227403</v>
      </c>
      <c r="X161">
        <v>10246.3845967137</v>
      </c>
      <c r="Y161">
        <v>7004.8321875716701</v>
      </c>
      <c r="Z161">
        <v>-5191.6342647478796</v>
      </c>
      <c r="AA161">
        <v>3634.00000000004</v>
      </c>
      <c r="AC161">
        <v>10332</v>
      </c>
      <c r="AD161">
        <v>0</v>
      </c>
      <c r="AE161">
        <v>5145.4130123681798</v>
      </c>
      <c r="AF161">
        <v>266.38063388184003</v>
      </c>
      <c r="AG161">
        <v>-1650</v>
      </c>
      <c r="AH161">
        <v>-4378</v>
      </c>
      <c r="AI161">
        <v>1107.9885908062899</v>
      </c>
      <c r="AK161">
        <v>-2858.6922654190998</v>
      </c>
      <c r="AL161">
        <v>2.4773143381863099</v>
      </c>
      <c r="AM161">
        <v>-6345</v>
      </c>
      <c r="AN161">
        <v>-5220</v>
      </c>
      <c r="AP161">
        <v>-7614.3416201088103</v>
      </c>
      <c r="AQ161">
        <v>-694.84733120681904</v>
      </c>
      <c r="AR161">
        <v>-1210</v>
      </c>
      <c r="AS161">
        <v>6036</v>
      </c>
      <c r="AT161">
        <v>-19486.9492128411</v>
      </c>
      <c r="AU161">
        <v>1026</v>
      </c>
      <c r="AV161">
        <v>0</v>
      </c>
      <c r="AW161">
        <v>1596</v>
      </c>
      <c r="AX161">
        <v>-4700</v>
      </c>
      <c r="AY161">
        <v>0</v>
      </c>
      <c r="AZ161">
        <v>382.66455999995702</v>
      </c>
      <c r="BA161">
        <v>-16736.423880000599</v>
      </c>
      <c r="BB161">
        <v>4560</v>
      </c>
      <c r="BC161">
        <v>-5773.1157451527697</v>
      </c>
      <c r="BE161">
        <f t="shared" si="4"/>
        <v>-35971.60480124304</v>
      </c>
      <c r="BF161">
        <f t="shared" si="5"/>
        <v>44192366.988681793</v>
      </c>
    </row>
    <row r="162" spans="1:58" x14ac:dyDescent="0.2">
      <c r="A162" s="1">
        <v>45412</v>
      </c>
      <c r="B162">
        <v>-3664</v>
      </c>
      <c r="C162">
        <v>1820</v>
      </c>
      <c r="D162">
        <v>372</v>
      </c>
      <c r="E162">
        <v>-2670</v>
      </c>
      <c r="F162">
        <v>-2618</v>
      </c>
      <c r="G162">
        <v>2541.00000000009</v>
      </c>
      <c r="H162">
        <v>-7371.6304</v>
      </c>
      <c r="I162">
        <v>7216</v>
      </c>
      <c r="J162">
        <v>-6266.9549000780198</v>
      </c>
      <c r="L162">
        <v>2178</v>
      </c>
      <c r="M162">
        <v>-3450</v>
      </c>
      <c r="N162">
        <v>-6553.0277400000496</v>
      </c>
      <c r="O162">
        <v>-2961.00000000003</v>
      </c>
      <c r="P162">
        <v>-3674</v>
      </c>
      <c r="Q162">
        <v>1083.2775891533199</v>
      </c>
      <c r="R162">
        <v>2920.2644466264301</v>
      </c>
      <c r="T162">
        <v>3832.1673994499702</v>
      </c>
      <c r="U162">
        <v>7951.6093470078404</v>
      </c>
      <c r="V162">
        <v>-5500</v>
      </c>
      <c r="W162">
        <v>621.43467592740797</v>
      </c>
      <c r="X162">
        <v>10651.4189235745</v>
      </c>
      <c r="Y162">
        <v>-3102</v>
      </c>
      <c r="Z162">
        <v>1802.6784630176001</v>
      </c>
      <c r="AA162">
        <v>-3864.00000000004</v>
      </c>
      <c r="AC162">
        <v>-16312.200889015399</v>
      </c>
      <c r="AD162">
        <v>0</v>
      </c>
      <c r="AE162">
        <v>-3311.3335970532698</v>
      </c>
      <c r="AF162">
        <v>1044.8207286586501</v>
      </c>
      <c r="AG162">
        <v>-6300</v>
      </c>
      <c r="AH162">
        <v>11741</v>
      </c>
      <c r="AI162">
        <v>4073.6323376267501</v>
      </c>
      <c r="AK162">
        <v>-2950.43262762427</v>
      </c>
      <c r="AL162">
        <v>-57.197392797935102</v>
      </c>
      <c r="AM162">
        <v>3102</v>
      </c>
      <c r="AN162">
        <v>540</v>
      </c>
      <c r="AP162">
        <v>1694</v>
      </c>
      <c r="AQ162">
        <v>3174.7309987864101</v>
      </c>
      <c r="AR162">
        <v>6897</v>
      </c>
      <c r="AS162">
        <v>-1998</v>
      </c>
      <c r="AT162">
        <v>-1436.28214744604</v>
      </c>
      <c r="AU162">
        <v>774.31329118547296</v>
      </c>
      <c r="AV162">
        <v>0</v>
      </c>
      <c r="AW162">
        <v>684</v>
      </c>
      <c r="AX162">
        <v>1760</v>
      </c>
      <c r="AY162">
        <v>0</v>
      </c>
      <c r="AZ162">
        <v>0</v>
      </c>
      <c r="BA162">
        <v>17497.170420000599</v>
      </c>
      <c r="BB162">
        <v>3628.3408555474898</v>
      </c>
      <c r="BC162">
        <v>-1020</v>
      </c>
      <c r="BE162">
        <f t="shared" si="4"/>
        <v>14520.799782547485</v>
      </c>
      <c r="BF162">
        <f t="shared" si="5"/>
        <v>44206887.788464338</v>
      </c>
    </row>
    <row r="163" spans="1:58" x14ac:dyDescent="0.2">
      <c r="A163" s="1">
        <v>45413</v>
      </c>
      <c r="B163">
        <v>0</v>
      </c>
      <c r="C163">
        <v>0</v>
      </c>
      <c r="D163">
        <v>0</v>
      </c>
      <c r="E163">
        <v>-24.105770407041501</v>
      </c>
      <c r="F163">
        <v>0</v>
      </c>
      <c r="G163">
        <v>0</v>
      </c>
      <c r="H163">
        <v>0</v>
      </c>
      <c r="I163">
        <v>0</v>
      </c>
      <c r="J163">
        <v>-37.360149522855401</v>
      </c>
      <c r="L163">
        <v>-10.989735120067101</v>
      </c>
      <c r="M163">
        <v>-17.751742536546999</v>
      </c>
      <c r="N163">
        <v>-29.7248115664969</v>
      </c>
      <c r="O163">
        <v>0</v>
      </c>
      <c r="P163">
        <v>0</v>
      </c>
      <c r="Q163">
        <v>-25.0053089623528</v>
      </c>
      <c r="R163">
        <v>-103.235258650213</v>
      </c>
      <c r="T163">
        <v>-36.302329540667998</v>
      </c>
      <c r="U163">
        <v>-16.9829686015863</v>
      </c>
      <c r="V163">
        <v>0</v>
      </c>
      <c r="W163">
        <v>-26.080823171496299</v>
      </c>
      <c r="X163">
        <v>-21.7226408439866</v>
      </c>
      <c r="Y163">
        <v>0</v>
      </c>
      <c r="Z163">
        <v>-45.464856010302697</v>
      </c>
      <c r="AA163">
        <v>0</v>
      </c>
      <c r="AC163">
        <v>0</v>
      </c>
      <c r="AD163">
        <v>0</v>
      </c>
      <c r="AE163">
        <v>-19.8046659282349</v>
      </c>
      <c r="AF163">
        <v>0</v>
      </c>
      <c r="AG163">
        <v>-107.48080807083301</v>
      </c>
      <c r="AH163">
        <v>0</v>
      </c>
      <c r="AI163">
        <v>-14.538280823671601</v>
      </c>
      <c r="AK163">
        <v>0</v>
      </c>
      <c r="AL163">
        <v>-6.1124094450880904</v>
      </c>
      <c r="AM163">
        <v>0</v>
      </c>
      <c r="AN163">
        <v>-4.2360462307519402</v>
      </c>
      <c r="AP163">
        <v>0</v>
      </c>
      <c r="AQ163">
        <v>-25.823614809199999</v>
      </c>
      <c r="AR163">
        <v>-41.217229327914197</v>
      </c>
      <c r="AS163">
        <v>0</v>
      </c>
      <c r="AT163">
        <v>-87.068369348403493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-16.297390083257699</v>
      </c>
      <c r="BC163">
        <v>-2.6083309415006699</v>
      </c>
      <c r="BE163">
        <f t="shared" si="4"/>
        <v>-719.91353994246924</v>
      </c>
      <c r="BF163">
        <f t="shared" si="5"/>
        <v>44206167.874924392</v>
      </c>
    </row>
    <row r="164" spans="1:58" x14ac:dyDescent="0.2">
      <c r="A164" s="1">
        <v>45414</v>
      </c>
      <c r="B164">
        <v>-3608</v>
      </c>
      <c r="C164">
        <v>-12480</v>
      </c>
      <c r="D164">
        <v>-744</v>
      </c>
      <c r="E164">
        <v>-2445.0087308831999</v>
      </c>
      <c r="F164">
        <v>11662</v>
      </c>
      <c r="G164">
        <v>6170.9999999997999</v>
      </c>
      <c r="H164">
        <v>-1704.6895300000001</v>
      </c>
      <c r="I164">
        <v>11552</v>
      </c>
      <c r="J164">
        <v>950</v>
      </c>
      <c r="L164">
        <v>23671.058817638699</v>
      </c>
      <c r="M164">
        <v>-1202.68796512171</v>
      </c>
      <c r="N164">
        <v>-1314.6268518444001</v>
      </c>
      <c r="O164">
        <v>6299.99999999997</v>
      </c>
      <c r="P164">
        <v>8684</v>
      </c>
      <c r="Q164">
        <v>810</v>
      </c>
      <c r="R164">
        <v>-12236</v>
      </c>
      <c r="T164">
        <v>-3374</v>
      </c>
      <c r="U164">
        <v>-14597.8894433881</v>
      </c>
      <c r="V164">
        <v>-13500</v>
      </c>
      <c r="W164">
        <v>-3240</v>
      </c>
      <c r="X164">
        <v>26468</v>
      </c>
      <c r="Y164">
        <v>-1782</v>
      </c>
      <c r="Z164">
        <v>-148</v>
      </c>
      <c r="AA164">
        <v>-14030</v>
      </c>
      <c r="AC164">
        <v>21814</v>
      </c>
      <c r="AD164">
        <v>720</v>
      </c>
      <c r="AE164">
        <v>-2720</v>
      </c>
      <c r="AF164">
        <v>-754</v>
      </c>
      <c r="AG164">
        <v>-589</v>
      </c>
      <c r="AH164">
        <v>-10547</v>
      </c>
      <c r="AI164">
        <v>1600.5529245294499</v>
      </c>
      <c r="AK164">
        <v>-3028.7103000000002</v>
      </c>
      <c r="AL164">
        <v>-875.08722569352801</v>
      </c>
      <c r="AM164">
        <v>-11186</v>
      </c>
      <c r="AN164">
        <v>-9592</v>
      </c>
      <c r="AP164">
        <v>5852</v>
      </c>
      <c r="AQ164">
        <v>2469.2765955392301</v>
      </c>
      <c r="AR164">
        <v>-2982</v>
      </c>
      <c r="AS164">
        <v>-1476</v>
      </c>
      <c r="AT164">
        <v>-55</v>
      </c>
      <c r="AU164">
        <v>-1500</v>
      </c>
      <c r="AV164">
        <v>0</v>
      </c>
      <c r="AW164">
        <v>2728.41666568044</v>
      </c>
      <c r="AX164">
        <v>7140</v>
      </c>
      <c r="AY164">
        <v>0</v>
      </c>
      <c r="AZ164">
        <v>7653.2911999999997</v>
      </c>
      <c r="BA164">
        <v>-51730.764719999803</v>
      </c>
      <c r="BB164">
        <v>4727</v>
      </c>
      <c r="BC164">
        <v>-1008</v>
      </c>
      <c r="BE164">
        <f t="shared" si="4"/>
        <v>-33477.868563543154</v>
      </c>
      <c r="BF164">
        <f t="shared" si="5"/>
        <v>44172690.006360851</v>
      </c>
    </row>
    <row r="165" spans="1:58" x14ac:dyDescent="0.2">
      <c r="A165" s="1">
        <v>45415</v>
      </c>
      <c r="B165">
        <v>4368</v>
      </c>
      <c r="C165">
        <v>1997.7251371439199</v>
      </c>
      <c r="D165">
        <v>372</v>
      </c>
      <c r="E165">
        <v>-10880</v>
      </c>
      <c r="F165">
        <v>3975.7439933812002</v>
      </c>
      <c r="G165">
        <v>-1942.7593924333801</v>
      </c>
      <c r="H165">
        <v>4561.1963100000003</v>
      </c>
      <c r="I165">
        <v>-3040</v>
      </c>
      <c r="J165">
        <v>-370.13382027953202</v>
      </c>
      <c r="L165">
        <v>11960.793993943</v>
      </c>
      <c r="M165">
        <v>-522.21840573700501</v>
      </c>
      <c r="N165">
        <v>0</v>
      </c>
      <c r="O165">
        <v>3276.00000000008</v>
      </c>
      <c r="P165">
        <v>-846.96671950105895</v>
      </c>
      <c r="Q165">
        <v>-9466.6976241741395</v>
      </c>
      <c r="R165">
        <v>-4788</v>
      </c>
      <c r="T165">
        <v>-6804</v>
      </c>
      <c r="U165">
        <v>0</v>
      </c>
      <c r="V165">
        <v>-396.029016661041</v>
      </c>
      <c r="W165">
        <v>-2040</v>
      </c>
      <c r="X165">
        <v>-3037.8096959530599</v>
      </c>
      <c r="Y165">
        <v>-3442.00195393683</v>
      </c>
      <c r="Z165">
        <v>-2135.3979631457</v>
      </c>
      <c r="AA165">
        <v>-356.63326898450299</v>
      </c>
      <c r="AC165">
        <v>-19487</v>
      </c>
      <c r="AD165">
        <v>136.27511059830201</v>
      </c>
      <c r="AE165">
        <v>2040</v>
      </c>
      <c r="AF165">
        <v>-796.69877331076702</v>
      </c>
      <c r="AG165">
        <v>-519</v>
      </c>
      <c r="AH165">
        <v>0</v>
      </c>
      <c r="AI165">
        <v>10720</v>
      </c>
      <c r="AK165">
        <v>8328.9533250000004</v>
      </c>
      <c r="AL165">
        <v>-315</v>
      </c>
      <c r="AM165">
        <v>2966.20663236478</v>
      </c>
      <c r="AN165">
        <v>2935.3413972189501</v>
      </c>
      <c r="AP165">
        <v>6158.4305160428903</v>
      </c>
      <c r="AQ165">
        <v>6542.1304341515397</v>
      </c>
      <c r="AR165">
        <v>-291.80930341615698</v>
      </c>
      <c r="AS165">
        <v>1956</v>
      </c>
      <c r="AT165">
        <v>-288.586063335858</v>
      </c>
      <c r="AU165">
        <v>-88.465907664144794</v>
      </c>
      <c r="AV165">
        <v>0</v>
      </c>
      <c r="AW165">
        <v>8568.1517621287494</v>
      </c>
      <c r="AX165">
        <v>3801.3046756707899</v>
      </c>
      <c r="AY165">
        <v>-18801.691999999999</v>
      </c>
      <c r="AZ165">
        <v>-30230.500240000001</v>
      </c>
      <c r="BA165">
        <v>-29327.428246263698</v>
      </c>
      <c r="BB165">
        <v>-3263.2280835247998</v>
      </c>
      <c r="BC165">
        <v>785.53198698623805</v>
      </c>
      <c r="BE165">
        <f t="shared" si="4"/>
        <v>-68028.271203691213</v>
      </c>
      <c r="BF165">
        <f t="shared" si="5"/>
        <v>44104661.735157162</v>
      </c>
    </row>
    <row r="166" spans="1:58" x14ac:dyDescent="0.2">
      <c r="A166" s="1">
        <v>45418</v>
      </c>
      <c r="B166">
        <v>-464</v>
      </c>
      <c r="C166">
        <v>7056.4682371287699</v>
      </c>
      <c r="D166">
        <v>1108.67740949162</v>
      </c>
      <c r="E166">
        <v>816</v>
      </c>
      <c r="F166">
        <v>1894.9303964937501</v>
      </c>
      <c r="G166">
        <v>6654.0731763250797</v>
      </c>
      <c r="H166">
        <v>4400.7129299999997</v>
      </c>
      <c r="I166">
        <v>3264</v>
      </c>
      <c r="J166">
        <v>-597.84642204342003</v>
      </c>
      <c r="L166">
        <v>9162.3613949353294</v>
      </c>
      <c r="M166">
        <v>40.545641175536801</v>
      </c>
      <c r="N166">
        <v>-29.745849530809998</v>
      </c>
      <c r="O166">
        <v>5920.2773237292304</v>
      </c>
      <c r="P166">
        <v>-3360</v>
      </c>
      <c r="Q166">
        <v>11003.2183019774</v>
      </c>
      <c r="R166">
        <v>12768</v>
      </c>
      <c r="T166">
        <v>10444</v>
      </c>
      <c r="U166">
        <v>-3466.87901084334</v>
      </c>
      <c r="V166">
        <v>-5900</v>
      </c>
      <c r="W166">
        <v>-25160</v>
      </c>
      <c r="X166">
        <v>-4719.7465877510504</v>
      </c>
      <c r="Y166">
        <v>-2267.9874971456602</v>
      </c>
      <c r="Z166">
        <v>2655.6132255078501</v>
      </c>
      <c r="AA166">
        <v>-6325.6213021276599</v>
      </c>
      <c r="AC166">
        <v>28977</v>
      </c>
      <c r="AD166">
        <v>-16.345833023628899</v>
      </c>
      <c r="AE166">
        <v>8970.6833917728709</v>
      </c>
      <c r="AF166">
        <v>-377.507225467198</v>
      </c>
      <c r="AG166">
        <v>4059.9254600118702</v>
      </c>
      <c r="AH166">
        <v>398</v>
      </c>
      <c r="AI166">
        <v>792.51683682995497</v>
      </c>
      <c r="AK166">
        <v>-1539.5914890567001</v>
      </c>
      <c r="AL166">
        <v>36</v>
      </c>
      <c r="AM166">
        <v>-7436</v>
      </c>
      <c r="AN166">
        <v>-6970</v>
      </c>
      <c r="AP166">
        <v>4759.6146637371303</v>
      </c>
      <c r="AQ166">
        <v>5197.7596345401698</v>
      </c>
      <c r="AR166">
        <v>6844.42077180865</v>
      </c>
      <c r="AS166">
        <v>4782</v>
      </c>
      <c r="AT166">
        <v>644</v>
      </c>
      <c r="AU166">
        <v>-26.4587824275896</v>
      </c>
      <c r="AV166">
        <v>638</v>
      </c>
      <c r="AW166">
        <v>-25987.155707585702</v>
      </c>
      <c r="AX166">
        <v>3427.9799190676199</v>
      </c>
      <c r="AY166">
        <v>-7028.5005000002602</v>
      </c>
      <c r="AZ166">
        <v>-4069.1159443657598</v>
      </c>
      <c r="BA166">
        <v>24883.974009146499</v>
      </c>
      <c r="BB166">
        <v>9341.56788974542</v>
      </c>
      <c r="BC166">
        <v>-2016</v>
      </c>
      <c r="BE166">
        <f t="shared" si="4"/>
        <v>73183.818462055948</v>
      </c>
      <c r="BF166">
        <f t="shared" si="5"/>
        <v>44177845.553619221</v>
      </c>
    </row>
    <row r="167" spans="1:58" x14ac:dyDescent="0.2">
      <c r="A167" s="1">
        <v>45419</v>
      </c>
      <c r="B167">
        <v>-1760</v>
      </c>
      <c r="C167">
        <v>600</v>
      </c>
      <c r="D167">
        <v>-438.16188361125103</v>
      </c>
      <c r="E167">
        <v>21488</v>
      </c>
      <c r="F167">
        <v>1112.88725702019</v>
      </c>
      <c r="G167">
        <v>7394.6178211175102</v>
      </c>
      <c r="H167">
        <v>11117.590559999901</v>
      </c>
      <c r="I167">
        <v>499.29830349604998</v>
      </c>
      <c r="J167">
        <v>175.916533443139</v>
      </c>
      <c r="L167">
        <v>-5328.6542781814296</v>
      </c>
      <c r="M167">
        <v>432</v>
      </c>
      <c r="N167">
        <v>871.07209999999998</v>
      </c>
      <c r="O167">
        <v>-1597.51211235204</v>
      </c>
      <c r="P167">
        <v>4704</v>
      </c>
      <c r="Q167">
        <v>-810</v>
      </c>
      <c r="R167">
        <v>-4788</v>
      </c>
      <c r="T167">
        <v>6636</v>
      </c>
      <c r="U167">
        <v>14110</v>
      </c>
      <c r="V167">
        <v>9878.9799711930791</v>
      </c>
      <c r="W167">
        <v>11454.8678400602</v>
      </c>
      <c r="X167">
        <v>224</v>
      </c>
      <c r="Y167">
        <v>-2610</v>
      </c>
      <c r="Z167">
        <v>-3487.92965662193</v>
      </c>
      <c r="AA167">
        <v>9145.7137242408899</v>
      </c>
      <c r="AC167">
        <v>-19500</v>
      </c>
      <c r="AD167">
        <v>-1488</v>
      </c>
      <c r="AE167">
        <v>3461.9914413626898</v>
      </c>
      <c r="AF167">
        <v>45.613955090736198</v>
      </c>
      <c r="AG167">
        <v>0</v>
      </c>
      <c r="AH167">
        <v>-1791</v>
      </c>
      <c r="AI167">
        <v>11584.8471920258</v>
      </c>
      <c r="AK167">
        <v>11232.245500000001</v>
      </c>
      <c r="AL167">
        <v>216</v>
      </c>
      <c r="AM167">
        <v>5384.2590139370504</v>
      </c>
      <c r="AN167">
        <v>7166.5943275988102</v>
      </c>
      <c r="AP167">
        <v>-7211.9365075941396</v>
      </c>
      <c r="AQ167">
        <v>-2822.8273816012502</v>
      </c>
      <c r="AR167">
        <v>1046.05248453523</v>
      </c>
      <c r="AS167">
        <v>2550</v>
      </c>
      <c r="AT167">
        <v>-158.53410058545799</v>
      </c>
      <c r="AU167">
        <v>-174.37799209439001</v>
      </c>
      <c r="AV167">
        <v>-2635.1422117482498</v>
      </c>
      <c r="AW167">
        <v>25919.774859016201</v>
      </c>
      <c r="AX167">
        <v>1850.0575880009801</v>
      </c>
      <c r="AY167">
        <v>0</v>
      </c>
      <c r="AZ167">
        <v>5042.5572445772996</v>
      </c>
      <c r="BA167">
        <v>8922.3182400007008</v>
      </c>
      <c r="BB167">
        <v>4462.7962487232599</v>
      </c>
      <c r="BC167">
        <v>630.97241161391696</v>
      </c>
      <c r="BE167">
        <f t="shared" si="4"/>
        <v>132758.94849266351</v>
      </c>
      <c r="BF167">
        <f t="shared" si="5"/>
        <v>44310604.502111882</v>
      </c>
    </row>
    <row r="168" spans="1:58" x14ac:dyDescent="0.2">
      <c r="A168" s="1">
        <v>45420</v>
      </c>
      <c r="B168">
        <v>7864</v>
      </c>
      <c r="C168">
        <v>-3600</v>
      </c>
      <c r="D168">
        <v>-475.78116177462198</v>
      </c>
      <c r="E168">
        <v>11696</v>
      </c>
      <c r="F168">
        <v>4036.7527128885199</v>
      </c>
      <c r="G168">
        <v>-4687.3452949345701</v>
      </c>
      <c r="H168">
        <v>1851.2924</v>
      </c>
      <c r="I168">
        <v>-6008.3171703388098</v>
      </c>
      <c r="J168">
        <v>-201</v>
      </c>
      <c r="L168">
        <v>920.09827262277895</v>
      </c>
      <c r="M168">
        <v>-193.38960031449099</v>
      </c>
      <c r="N168">
        <v>-146.09983999999099</v>
      </c>
      <c r="O168">
        <v>660.40479872437095</v>
      </c>
      <c r="P168">
        <v>-2363.8647997932499</v>
      </c>
      <c r="Q168">
        <v>2700</v>
      </c>
      <c r="R168">
        <v>6916</v>
      </c>
      <c r="T168">
        <v>-8352.1650961201703</v>
      </c>
      <c r="U168">
        <v>-2514.3336627333001</v>
      </c>
      <c r="V168">
        <v>3150</v>
      </c>
      <c r="W168">
        <v>-2040.4777865942799</v>
      </c>
      <c r="X168">
        <v>2722.38191578342</v>
      </c>
      <c r="Y168">
        <v>8695.0199266885393</v>
      </c>
      <c r="Z168">
        <v>-405.19357884618199</v>
      </c>
      <c r="AA168">
        <v>3407.5</v>
      </c>
      <c r="AC168">
        <v>12427.8949581615</v>
      </c>
      <c r="AD168">
        <v>-403</v>
      </c>
      <c r="AE168">
        <v>-884.82887038795297</v>
      </c>
      <c r="AF168">
        <v>14.3334832131873</v>
      </c>
      <c r="AG168">
        <v>0</v>
      </c>
      <c r="AH168">
        <v>2587</v>
      </c>
      <c r="AI168">
        <v>-7034.9862596245202</v>
      </c>
      <c r="AK168">
        <v>-1637.6337619502301</v>
      </c>
      <c r="AL168">
        <v>126</v>
      </c>
      <c r="AM168">
        <v>13356</v>
      </c>
      <c r="AN168">
        <v>11310</v>
      </c>
      <c r="AP168">
        <v>2277</v>
      </c>
      <c r="AQ168">
        <v>-13514.220891671999</v>
      </c>
      <c r="AR168">
        <v>10285.954455024201</v>
      </c>
      <c r="AS168">
        <v>276</v>
      </c>
      <c r="AT168">
        <v>225</v>
      </c>
      <c r="AU168">
        <v>-96.427734673820893</v>
      </c>
      <c r="AV168">
        <v>522.18308238741395</v>
      </c>
      <c r="AW168">
        <v>-6210</v>
      </c>
      <c r="AX168">
        <v>-7820.2715133291304</v>
      </c>
      <c r="AY168">
        <v>0</v>
      </c>
      <c r="AZ168">
        <v>6964.2458999999999</v>
      </c>
      <c r="BA168">
        <v>24724.592639999399</v>
      </c>
      <c r="BB168">
        <v>-5347.9354311037796</v>
      </c>
      <c r="BC168">
        <v>616.26853574797894</v>
      </c>
      <c r="BE168">
        <f t="shared" si="4"/>
        <v>66394.6506270502</v>
      </c>
      <c r="BF168">
        <f t="shared" si="5"/>
        <v>44376999.152738929</v>
      </c>
    </row>
    <row r="169" spans="1:58" x14ac:dyDescent="0.2">
      <c r="A169" s="1">
        <v>45421</v>
      </c>
      <c r="B169">
        <v>0</v>
      </c>
      <c r="C169">
        <v>0</v>
      </c>
      <c r="D169">
        <v>0</v>
      </c>
      <c r="E169">
        <v>0</v>
      </c>
      <c r="F169">
        <v>-104.144372352136</v>
      </c>
      <c r="G169">
        <v>-2.8686352527293999</v>
      </c>
      <c r="H169">
        <v>-130.775950889402</v>
      </c>
      <c r="I169">
        <v>0</v>
      </c>
      <c r="J169">
        <v>0</v>
      </c>
      <c r="L169">
        <v>-7.7803830622004604</v>
      </c>
      <c r="M169">
        <v>-2.35607931173756</v>
      </c>
      <c r="N169">
        <v>0</v>
      </c>
      <c r="O169">
        <v>-216.03096203867801</v>
      </c>
      <c r="P169">
        <v>0</v>
      </c>
      <c r="Q169">
        <v>-24.9582371104479</v>
      </c>
      <c r="R169">
        <v>-11.563950336284901</v>
      </c>
      <c r="T169">
        <v>0</v>
      </c>
      <c r="U169">
        <v>-11.1981508624946</v>
      </c>
      <c r="V169">
        <v>0</v>
      </c>
      <c r="W169">
        <v>-39.359954979506199</v>
      </c>
      <c r="X169">
        <v>-21.553077810950398</v>
      </c>
      <c r="Y169">
        <v>0</v>
      </c>
      <c r="Z169">
        <v>-106.352318574471</v>
      </c>
      <c r="AA169">
        <v>0</v>
      </c>
      <c r="AC169">
        <v>0</v>
      </c>
      <c r="AD169">
        <v>0</v>
      </c>
      <c r="AE169">
        <v>-53.581314655921702</v>
      </c>
      <c r="AF169">
        <v>-3.6554888998155599</v>
      </c>
      <c r="AG169">
        <v>0</v>
      </c>
      <c r="AH169">
        <v>0</v>
      </c>
      <c r="AI169">
        <v>0</v>
      </c>
      <c r="AK169">
        <v>-26.3107403881185</v>
      </c>
      <c r="AL169">
        <v>0</v>
      </c>
      <c r="AM169">
        <v>0</v>
      </c>
      <c r="AN169">
        <v>0</v>
      </c>
      <c r="AP169">
        <v>0</v>
      </c>
      <c r="AQ169">
        <v>0</v>
      </c>
      <c r="AR169">
        <v>-46.713660323765197</v>
      </c>
      <c r="AS169">
        <v>-22.517763710289898</v>
      </c>
      <c r="AT169">
        <v>-17.683722196550899</v>
      </c>
      <c r="AU169">
        <v>-17.4797792875735</v>
      </c>
      <c r="AV169">
        <v>-247.93331773164999</v>
      </c>
      <c r="AW169">
        <v>-10.6714222816095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E169">
        <f t="shared" si="4"/>
        <v>-1125.489282056333</v>
      </c>
      <c r="BF169">
        <f t="shared" si="5"/>
        <v>44375873.663456872</v>
      </c>
    </row>
    <row r="170" spans="1:58" x14ac:dyDescent="0.2">
      <c r="A170" s="1">
        <v>45422</v>
      </c>
      <c r="B170">
        <v>1416</v>
      </c>
      <c r="C170">
        <v>720</v>
      </c>
      <c r="D170">
        <v>0</v>
      </c>
      <c r="E170">
        <v>9248</v>
      </c>
      <c r="F170">
        <v>-2065.5368680462302</v>
      </c>
      <c r="G170">
        <v>-7095.9543200473199</v>
      </c>
      <c r="H170">
        <v>11949.3523927775</v>
      </c>
      <c r="I170">
        <v>-7904</v>
      </c>
      <c r="J170">
        <v>29</v>
      </c>
      <c r="L170">
        <v>-996</v>
      </c>
      <c r="M170">
        <v>-2597.10080411832</v>
      </c>
      <c r="N170">
        <v>-3691.32078000002</v>
      </c>
      <c r="O170">
        <v>799.99999999991098</v>
      </c>
      <c r="P170">
        <v>-676</v>
      </c>
      <c r="Q170">
        <v>2400</v>
      </c>
      <c r="R170">
        <v>-3759</v>
      </c>
      <c r="T170">
        <v>-3780</v>
      </c>
      <c r="U170">
        <v>17390</v>
      </c>
      <c r="V170">
        <v>4650</v>
      </c>
      <c r="W170">
        <v>3459.91026534308</v>
      </c>
      <c r="X170">
        <v>-27660</v>
      </c>
      <c r="Y170">
        <v>2929</v>
      </c>
      <c r="Z170">
        <v>1680</v>
      </c>
      <c r="AA170">
        <v>4523.99999999997</v>
      </c>
      <c r="AC170">
        <v>-5148</v>
      </c>
      <c r="AD170">
        <v>62</v>
      </c>
      <c r="AE170">
        <v>5234.2847918626003</v>
      </c>
      <c r="AF170">
        <v>18</v>
      </c>
      <c r="AG170">
        <v>0</v>
      </c>
      <c r="AH170">
        <v>5174</v>
      </c>
      <c r="AI170">
        <v>288</v>
      </c>
      <c r="AK170">
        <v>3672.9559999999901</v>
      </c>
      <c r="AL170">
        <v>-207</v>
      </c>
      <c r="AM170">
        <v>8526</v>
      </c>
      <c r="AN170">
        <v>7839</v>
      </c>
      <c r="AP170">
        <v>4140</v>
      </c>
      <c r="AQ170">
        <v>-5320</v>
      </c>
      <c r="AR170">
        <v>2403.1775223877298</v>
      </c>
      <c r="AS170">
        <v>2245.5272040302598</v>
      </c>
      <c r="AT170">
        <v>375.62421432528902</v>
      </c>
      <c r="AU170">
        <v>-248.428442594079</v>
      </c>
      <c r="AV170">
        <v>60</v>
      </c>
      <c r="AW170">
        <v>-5056.1485021295102</v>
      </c>
      <c r="AX170">
        <v>-5795</v>
      </c>
      <c r="AY170">
        <v>-984.36071221279303</v>
      </c>
      <c r="AZ170">
        <v>-6742.2427700000299</v>
      </c>
      <c r="BA170">
        <v>9782.3714999999993</v>
      </c>
      <c r="BB170">
        <v>6368.8425085709696</v>
      </c>
      <c r="BC170">
        <v>0</v>
      </c>
      <c r="BE170">
        <f t="shared" si="4"/>
        <v>27658.953200148993</v>
      </c>
      <c r="BF170">
        <f t="shared" si="5"/>
        <v>44403532.616657019</v>
      </c>
    </row>
    <row r="171" spans="1:58" x14ac:dyDescent="0.2">
      <c r="A171" s="1">
        <v>45425</v>
      </c>
      <c r="B171">
        <v>2304</v>
      </c>
      <c r="C171">
        <v>-7860</v>
      </c>
      <c r="D171">
        <v>-3975</v>
      </c>
      <c r="E171">
        <v>3536</v>
      </c>
      <c r="F171">
        <v>-1431</v>
      </c>
      <c r="G171">
        <v>19920.000000000098</v>
      </c>
      <c r="H171">
        <v>-1388.19089321107</v>
      </c>
      <c r="I171">
        <v>15618</v>
      </c>
      <c r="J171">
        <v>-77</v>
      </c>
      <c r="L171">
        <v>-9296</v>
      </c>
      <c r="M171">
        <v>2097</v>
      </c>
      <c r="N171">
        <v>2268.05033000002</v>
      </c>
      <c r="O171">
        <v>15365.090517807501</v>
      </c>
      <c r="P171">
        <v>-8788</v>
      </c>
      <c r="Q171">
        <v>-16.544120116720801</v>
      </c>
      <c r="R171">
        <v>-18258</v>
      </c>
      <c r="T171">
        <v>-32430</v>
      </c>
      <c r="U171">
        <v>-2971.1624071332699</v>
      </c>
      <c r="V171">
        <v>-320.80919112391098</v>
      </c>
      <c r="W171">
        <v>-1267.05486979646</v>
      </c>
      <c r="X171">
        <v>1410</v>
      </c>
      <c r="Y171">
        <v>493</v>
      </c>
      <c r="Z171">
        <v>651.53481789234104</v>
      </c>
      <c r="AA171">
        <v>54.070925429783003</v>
      </c>
      <c r="AC171">
        <v>2904</v>
      </c>
      <c r="AD171">
        <v>-1772.3681101720999</v>
      </c>
      <c r="AE171">
        <v>28911.5537096228</v>
      </c>
      <c r="AF171">
        <v>271.07562142002303</v>
      </c>
      <c r="AG171">
        <v>0</v>
      </c>
      <c r="AH171">
        <v>4975</v>
      </c>
      <c r="AI171">
        <v>29952</v>
      </c>
      <c r="AK171">
        <v>22037.735999999899</v>
      </c>
      <c r="AL171">
        <v>54</v>
      </c>
      <c r="AM171">
        <v>6888.7015703741699</v>
      </c>
      <c r="AN171">
        <v>7865.4896050655097</v>
      </c>
      <c r="AP171">
        <v>2465.4729401337099</v>
      </c>
      <c r="AQ171">
        <v>12426.047865409801</v>
      </c>
      <c r="AR171">
        <v>7941.5918439463803</v>
      </c>
      <c r="AS171">
        <v>-6422.5733417996998</v>
      </c>
      <c r="AT171">
        <v>545.18236825214797</v>
      </c>
      <c r="AU171">
        <v>1134.5973817143799</v>
      </c>
      <c r="AV171">
        <v>276</v>
      </c>
      <c r="AW171">
        <v>-7861.08014681246</v>
      </c>
      <c r="AX171">
        <v>17936</v>
      </c>
      <c r="AY171">
        <v>-490.687730847865</v>
      </c>
      <c r="AZ171">
        <v>-2092.4201700000199</v>
      </c>
      <c r="BA171">
        <v>-2739.0640200002799</v>
      </c>
      <c r="BB171">
        <v>-3029.1431776884801</v>
      </c>
      <c r="BC171">
        <v>-540</v>
      </c>
      <c r="BE171">
        <f t="shared" si="4"/>
        <v>97275.097318366228</v>
      </c>
      <c r="BF171">
        <f t="shared" si="5"/>
        <v>44500807.713975385</v>
      </c>
    </row>
    <row r="172" spans="1:58" x14ac:dyDescent="0.2">
      <c r="A172" s="1">
        <v>45426</v>
      </c>
      <c r="B172">
        <v>5680</v>
      </c>
      <c r="C172">
        <v>1625.8604611076601</v>
      </c>
      <c r="D172">
        <v>22.366657222389499</v>
      </c>
      <c r="E172">
        <v>2920.7976341568501</v>
      </c>
      <c r="F172">
        <v>-15604.9829239586</v>
      </c>
      <c r="G172">
        <v>-7150.4064613139999</v>
      </c>
      <c r="H172">
        <v>-345.01391648857901</v>
      </c>
      <c r="I172">
        <v>-8360</v>
      </c>
      <c r="J172">
        <v>-295.38168073064003</v>
      </c>
      <c r="L172">
        <v>-1494</v>
      </c>
      <c r="M172">
        <v>-513</v>
      </c>
      <c r="N172">
        <v>-1101.8868</v>
      </c>
      <c r="O172">
        <v>3535.2126249682001</v>
      </c>
      <c r="P172">
        <v>424.81825443003902</v>
      </c>
      <c r="Q172">
        <v>6055.2117021650001</v>
      </c>
      <c r="R172">
        <v>-709.61098272890399</v>
      </c>
      <c r="T172">
        <v>-7910.6705813366498</v>
      </c>
      <c r="U172">
        <v>-1149.71048184181</v>
      </c>
      <c r="V172">
        <v>2100</v>
      </c>
      <c r="W172">
        <v>3486</v>
      </c>
      <c r="X172">
        <v>15210</v>
      </c>
      <c r="Y172">
        <v>-986</v>
      </c>
      <c r="Z172">
        <v>-4032.64592144467</v>
      </c>
      <c r="AA172">
        <v>1688.21835310494</v>
      </c>
      <c r="AC172">
        <v>12660</v>
      </c>
      <c r="AD172">
        <v>31777.9767035861</v>
      </c>
      <c r="AE172">
        <v>-28060</v>
      </c>
      <c r="AF172">
        <v>-555.99099244771901</v>
      </c>
      <c r="AG172">
        <v>0</v>
      </c>
      <c r="AH172">
        <v>6734.4814326422302</v>
      </c>
      <c r="AI172">
        <v>13248</v>
      </c>
      <c r="AK172">
        <v>-3699.3590532336498</v>
      </c>
      <c r="AL172">
        <v>54</v>
      </c>
      <c r="AM172">
        <v>10582.531672581599</v>
      </c>
      <c r="AN172">
        <v>10853.0108686984</v>
      </c>
      <c r="AP172">
        <v>-7913.2838709031003</v>
      </c>
      <c r="AQ172">
        <v>6912</v>
      </c>
      <c r="AR172">
        <v>-3783.8222144392798</v>
      </c>
      <c r="AS172">
        <v>-5049</v>
      </c>
      <c r="AT172">
        <v>-748.00465085218195</v>
      </c>
      <c r="AU172">
        <v>17</v>
      </c>
      <c r="AV172">
        <v>-1478.3138474900099</v>
      </c>
      <c r="AW172">
        <v>-1480.21518940026</v>
      </c>
      <c r="AX172">
        <v>-2516.5902776434</v>
      </c>
      <c r="AY172">
        <v>0</v>
      </c>
      <c r="AZ172">
        <v>0</v>
      </c>
      <c r="BA172">
        <v>9699.9143020963802</v>
      </c>
      <c r="BB172">
        <v>-40991</v>
      </c>
      <c r="BC172">
        <v>3810.8119411911098</v>
      </c>
      <c r="BE172">
        <f t="shared" si="4"/>
        <v>3169.3227616974468</v>
      </c>
      <c r="BF172">
        <f t="shared" si="5"/>
        <v>44503977.036737084</v>
      </c>
    </row>
    <row r="173" spans="1:58" x14ac:dyDescent="0.2">
      <c r="A173" s="1">
        <v>45427</v>
      </c>
      <c r="B173">
        <v>8340.7686135228196</v>
      </c>
      <c r="C173">
        <v>148.619644587914</v>
      </c>
      <c r="D173">
        <v>115.55274766108199</v>
      </c>
      <c r="E173">
        <v>14146.628916002899</v>
      </c>
      <c r="F173">
        <v>-4047.9168683988401</v>
      </c>
      <c r="G173">
        <v>8413.0000000001</v>
      </c>
      <c r="H173">
        <v>12205.3023010135</v>
      </c>
      <c r="I173">
        <v>5662</v>
      </c>
      <c r="J173">
        <v>-215.97616885736099</v>
      </c>
      <c r="L173">
        <v>-4233</v>
      </c>
      <c r="M173">
        <v>-507.59999999999599</v>
      </c>
      <c r="N173">
        <v>-2025.0892999999901</v>
      </c>
      <c r="O173">
        <v>1255.03505227134</v>
      </c>
      <c r="P173">
        <v>-556.23864334082805</v>
      </c>
      <c r="Q173">
        <v>-391.19343335045397</v>
      </c>
      <c r="R173">
        <v>5456.7873099038397</v>
      </c>
      <c r="T173">
        <v>1382.9687156290499</v>
      </c>
      <c r="U173">
        <v>2310.4506373323702</v>
      </c>
      <c r="V173">
        <v>5079.2942699117702</v>
      </c>
      <c r="W173">
        <v>-1533</v>
      </c>
      <c r="X173">
        <v>-8160</v>
      </c>
      <c r="Y173">
        <v>87</v>
      </c>
      <c r="Z173">
        <v>-10248</v>
      </c>
      <c r="AA173">
        <v>4675.5424005401601</v>
      </c>
      <c r="AC173">
        <v>-1356</v>
      </c>
      <c r="AD173">
        <v>-23.0525837135655</v>
      </c>
      <c r="AE173">
        <v>-420.512826200137</v>
      </c>
      <c r="AF173">
        <v>986</v>
      </c>
      <c r="AG173">
        <v>0</v>
      </c>
      <c r="AH173">
        <v>-5369.9632160392002</v>
      </c>
      <c r="AI173">
        <v>-865.413750526954</v>
      </c>
      <c r="AK173">
        <v>22129.369500000001</v>
      </c>
      <c r="AL173">
        <v>1881</v>
      </c>
      <c r="AM173">
        <v>9329.1420909993303</v>
      </c>
      <c r="AN173">
        <v>9295.37579758424</v>
      </c>
      <c r="AP173">
        <v>7378</v>
      </c>
      <c r="AQ173">
        <v>-17024</v>
      </c>
      <c r="AR173">
        <v>2221.0021606001701</v>
      </c>
      <c r="AS173">
        <v>-14594.163537669099</v>
      </c>
      <c r="AT173">
        <v>156</v>
      </c>
      <c r="AU173">
        <v>-59.427028686725897</v>
      </c>
      <c r="AV173">
        <v>0</v>
      </c>
      <c r="AW173">
        <v>3442.4703229500601</v>
      </c>
      <c r="AX173">
        <v>13220</v>
      </c>
      <c r="AY173">
        <v>0</v>
      </c>
      <c r="AZ173">
        <v>0</v>
      </c>
      <c r="BA173">
        <v>-17665.577751326498</v>
      </c>
      <c r="BB173">
        <v>-20570.359928467198</v>
      </c>
      <c r="BC173">
        <v>-512.58831119468402</v>
      </c>
      <c r="BE173">
        <f t="shared" si="4"/>
        <v>28938.237132739127</v>
      </c>
      <c r="BF173">
        <f t="shared" si="5"/>
        <v>44532915.27386982</v>
      </c>
    </row>
    <row r="174" spans="1:58" x14ac:dyDescent="0.2">
      <c r="A174" s="1">
        <v>45428</v>
      </c>
      <c r="B174">
        <v>3115.5774291653902</v>
      </c>
      <c r="C174">
        <v>-4352.82888521109</v>
      </c>
      <c r="D174">
        <v>84.966608316270296</v>
      </c>
      <c r="E174">
        <v>5667.6613473773396</v>
      </c>
      <c r="F174">
        <v>-10505.1856125786</v>
      </c>
      <c r="G174">
        <v>-1297.64012813864</v>
      </c>
      <c r="H174">
        <v>-13000.7277376641</v>
      </c>
      <c r="I174">
        <v>-2017.2880374671399</v>
      </c>
      <c r="J174">
        <v>-375.51460740990001</v>
      </c>
      <c r="L174">
        <v>-3910.77031026843</v>
      </c>
      <c r="M174">
        <v>-66.073394298070298</v>
      </c>
      <c r="N174">
        <v>-661.53620403999503</v>
      </c>
      <c r="O174">
        <v>3174.1592377852398</v>
      </c>
      <c r="P174">
        <v>-1263.1855661700399</v>
      </c>
      <c r="Q174">
        <v>2649.0034818050699</v>
      </c>
      <c r="R174">
        <v>15007.518918727301</v>
      </c>
      <c r="T174">
        <v>-2774.1417323712699</v>
      </c>
      <c r="U174">
        <v>7653.6316873186997</v>
      </c>
      <c r="V174">
        <v>1297.8500496369199</v>
      </c>
      <c r="W174">
        <v>8813.10366866613</v>
      </c>
      <c r="X174">
        <v>8146.2647253857003</v>
      </c>
      <c r="Y174">
        <v>-835.25390701228298</v>
      </c>
      <c r="Z174">
        <v>951.30561003487401</v>
      </c>
      <c r="AA174">
        <v>2199.6113502979001</v>
      </c>
      <c r="AC174">
        <v>27.9520110912867</v>
      </c>
      <c r="AD174">
        <v>-26914.536631139799</v>
      </c>
      <c r="AE174">
        <v>7090.7292488356698</v>
      </c>
      <c r="AF174">
        <v>4233.69646027405</v>
      </c>
      <c r="AG174">
        <v>-273.506047099456</v>
      </c>
      <c r="AH174">
        <v>-732.74933840701203</v>
      </c>
      <c r="AI174">
        <v>1529.8148038112599</v>
      </c>
      <c r="AK174">
        <v>11356.9879296009</v>
      </c>
      <c r="AL174">
        <v>-1607.05301523653</v>
      </c>
      <c r="AM174">
        <v>7473.47535846559</v>
      </c>
      <c r="AN174">
        <v>7538.9384367904704</v>
      </c>
      <c r="AP174">
        <v>2903.9945398068298</v>
      </c>
      <c r="AQ174">
        <v>-13733.2092965131</v>
      </c>
      <c r="AR174">
        <v>29119.091319669398</v>
      </c>
      <c r="AS174">
        <v>286.53619080578699</v>
      </c>
      <c r="AT174">
        <v>-560.69622031125095</v>
      </c>
      <c r="AU174">
        <v>15.226985377999799</v>
      </c>
      <c r="AV174">
        <v>2436.8979998783998</v>
      </c>
      <c r="AW174">
        <v>1500.4808515110501</v>
      </c>
      <c r="AX174">
        <v>-156.87064265767299</v>
      </c>
      <c r="AY174">
        <v>-4903.7801227177597</v>
      </c>
      <c r="AZ174">
        <v>-10403.9085693695</v>
      </c>
      <c r="BA174">
        <v>5232.4720030737499</v>
      </c>
      <c r="BB174">
        <v>4675.5462017843802</v>
      </c>
      <c r="BC174">
        <v>-592.76057506565701</v>
      </c>
      <c r="BE174">
        <f t="shared" si="4"/>
        <v>43243.277874146355</v>
      </c>
      <c r="BF174">
        <f t="shared" si="5"/>
        <v>44576158.551743969</v>
      </c>
    </row>
    <row r="175" spans="1:58" x14ac:dyDescent="0.2">
      <c r="A175" s="1">
        <v>45429</v>
      </c>
      <c r="B175">
        <v>272.43817453160602</v>
      </c>
      <c r="C175">
        <v>-2982.4805189249901</v>
      </c>
      <c r="D175">
        <v>204</v>
      </c>
      <c r="E175">
        <v>25349.656927125699</v>
      </c>
      <c r="F175">
        <v>23200.913211993498</v>
      </c>
      <c r="G175">
        <v>5638.2127112408698</v>
      </c>
      <c r="H175">
        <v>756.02425500000004</v>
      </c>
      <c r="I175">
        <v>1159</v>
      </c>
      <c r="J175">
        <v>1136.68785883801</v>
      </c>
      <c r="L175">
        <v>25481</v>
      </c>
      <c r="M175">
        <v>-779.40000000000305</v>
      </c>
      <c r="N175">
        <v>0</v>
      </c>
      <c r="O175">
        <v>2161.95270402709</v>
      </c>
      <c r="P175">
        <v>129.72133806634201</v>
      </c>
      <c r="Q175">
        <v>-4762.7977890541797</v>
      </c>
      <c r="R175">
        <v>-5564.6601611549604</v>
      </c>
      <c r="T175">
        <v>-2972.8700076791101</v>
      </c>
      <c r="U175">
        <v>-25066.533926555199</v>
      </c>
      <c r="V175">
        <v>8700</v>
      </c>
      <c r="W175">
        <v>3654</v>
      </c>
      <c r="X175">
        <v>4140</v>
      </c>
      <c r="Y175">
        <v>-4857.6664761624397</v>
      </c>
      <c r="Z175">
        <v>8235</v>
      </c>
      <c r="AA175">
        <v>8792.81244349197</v>
      </c>
      <c r="AC175">
        <v>4104</v>
      </c>
      <c r="AD175">
        <v>32081.843944517299</v>
      </c>
      <c r="AE175">
        <v>-19992</v>
      </c>
      <c r="AF175">
        <v>-8708.9781421550597</v>
      </c>
      <c r="AG175">
        <v>872</v>
      </c>
      <c r="AH175">
        <v>1631</v>
      </c>
      <c r="AI175">
        <v>4679.5891189905396</v>
      </c>
      <c r="AK175">
        <v>18613.099233448</v>
      </c>
      <c r="AL175">
        <v>855</v>
      </c>
      <c r="AM175">
        <v>5937.0755275349102</v>
      </c>
      <c r="AN175">
        <v>6541.5971600150397</v>
      </c>
      <c r="AP175">
        <v>6636.4893445841799</v>
      </c>
      <c r="AQ175">
        <v>6287.1687412382198</v>
      </c>
      <c r="AR175">
        <v>-13440</v>
      </c>
      <c r="AS175">
        <v>-3007.1623080048598</v>
      </c>
      <c r="AT175">
        <v>-2652</v>
      </c>
      <c r="AU175">
        <v>-26.383963802506301</v>
      </c>
      <c r="AV175">
        <v>-1188.4437058293499</v>
      </c>
      <c r="AW175">
        <v>832.80826286158697</v>
      </c>
      <c r="AX175">
        <v>3533.4612614335101</v>
      </c>
      <c r="AY175">
        <v>0</v>
      </c>
      <c r="AZ175">
        <v>18528.198377393401</v>
      </c>
      <c r="BA175">
        <v>-7963.5738000003003</v>
      </c>
      <c r="BB175">
        <v>-19706.085723074299</v>
      </c>
      <c r="BC175">
        <v>289.70330902184298</v>
      </c>
      <c r="BE175">
        <f t="shared" si="4"/>
        <v>106763.41738295632</v>
      </c>
      <c r="BF175">
        <f t="shared" si="5"/>
        <v>44682921.969126925</v>
      </c>
    </row>
    <row r="176" spans="1:58" x14ac:dyDescent="0.2">
      <c r="A176" s="1">
        <v>45432</v>
      </c>
      <c r="B176">
        <v>-7261.6683618724901</v>
      </c>
      <c r="C176">
        <v>18.137696873046099</v>
      </c>
      <c r="D176">
        <v>714</v>
      </c>
      <c r="E176">
        <v>39370</v>
      </c>
      <c r="F176">
        <v>27060</v>
      </c>
      <c r="G176">
        <v>14128.4338842138</v>
      </c>
      <c r="H176">
        <v>5709.3452799999995</v>
      </c>
      <c r="I176">
        <v>7733</v>
      </c>
      <c r="J176">
        <v>7386.66175221919</v>
      </c>
      <c r="L176">
        <v>28801</v>
      </c>
      <c r="M176">
        <v>-1301.4000000000001</v>
      </c>
      <c r="N176">
        <v>-29.817482900957302</v>
      </c>
      <c r="O176">
        <v>13070.119452409501</v>
      </c>
      <c r="P176">
        <v>11150.760446537501</v>
      </c>
      <c r="Q176">
        <v>15040</v>
      </c>
      <c r="R176">
        <v>13831.842538676699</v>
      </c>
      <c r="T176">
        <v>4604.11234886067</v>
      </c>
      <c r="U176">
        <v>-27361.038883482001</v>
      </c>
      <c r="V176">
        <v>-27170.864328687101</v>
      </c>
      <c r="W176">
        <v>-9733.4971441388807</v>
      </c>
      <c r="X176">
        <v>18578.566353234899</v>
      </c>
      <c r="Y176">
        <v>-3008</v>
      </c>
      <c r="Z176">
        <v>4392</v>
      </c>
      <c r="AA176">
        <v>-28048.851705827299</v>
      </c>
      <c r="AC176">
        <v>24620.8111253071</v>
      </c>
      <c r="AD176">
        <v>-17406</v>
      </c>
      <c r="AE176">
        <v>6453.3205064781396</v>
      </c>
      <c r="AF176">
        <v>5601.9662177050004</v>
      </c>
      <c r="AG176">
        <v>2417</v>
      </c>
      <c r="AH176">
        <v>-3506.15075349369</v>
      </c>
      <c r="AI176">
        <v>9855.8267207769004</v>
      </c>
      <c r="AK176">
        <v>-24579.673751754999</v>
      </c>
      <c r="AL176">
        <v>-1143</v>
      </c>
      <c r="AM176">
        <v>-14518.5438678101</v>
      </c>
      <c r="AN176">
        <v>-19353.5617995336</v>
      </c>
      <c r="AP176">
        <v>7905.5141564587202</v>
      </c>
      <c r="AQ176">
        <v>3074.3569187980102</v>
      </c>
      <c r="AR176">
        <v>13120</v>
      </c>
      <c r="AS176">
        <v>-319.19461713417098</v>
      </c>
      <c r="AT176">
        <v>999.60253643032001</v>
      </c>
      <c r="AU176">
        <v>1864.9448556373</v>
      </c>
      <c r="AV176">
        <v>459.73434337737001</v>
      </c>
      <c r="AW176">
        <v>2092.6546858962802</v>
      </c>
      <c r="AX176">
        <v>6684.4822998397203</v>
      </c>
      <c r="AY176">
        <v>0</v>
      </c>
      <c r="AZ176">
        <v>-237.38775089568901</v>
      </c>
      <c r="BA176">
        <v>12085.206</v>
      </c>
      <c r="BB176">
        <v>11951.260931713799</v>
      </c>
      <c r="BC176">
        <v>-4148.1278464103698</v>
      </c>
      <c r="BE176">
        <f t="shared" si="4"/>
        <v>131647.88275750258</v>
      </c>
      <c r="BF176">
        <f t="shared" si="5"/>
        <v>44814569.851884425</v>
      </c>
    </row>
    <row r="177" spans="1:58" x14ac:dyDescent="0.2">
      <c r="A177" s="1">
        <v>45433</v>
      </c>
      <c r="B177">
        <v>14001</v>
      </c>
      <c r="C177">
        <v>-64.607318442276906</v>
      </c>
      <c r="D177">
        <v>187.04843201836101</v>
      </c>
      <c r="E177">
        <v>23250</v>
      </c>
      <c r="F177">
        <v>-5280</v>
      </c>
      <c r="G177">
        <v>19393.377394064999</v>
      </c>
      <c r="H177">
        <v>-6568.1387194756398</v>
      </c>
      <c r="I177">
        <v>13917.843916771601</v>
      </c>
      <c r="J177">
        <v>10838.2804275905</v>
      </c>
      <c r="L177">
        <v>97940</v>
      </c>
      <c r="M177">
        <v>887.40000000000305</v>
      </c>
      <c r="N177">
        <v>-220.81057018522901</v>
      </c>
      <c r="O177">
        <v>11093.7949999428</v>
      </c>
      <c r="P177">
        <v>19209.3644001916</v>
      </c>
      <c r="Q177">
        <v>12187.0996078675</v>
      </c>
      <c r="R177">
        <v>8585.6340259213794</v>
      </c>
      <c r="T177">
        <v>-7482</v>
      </c>
      <c r="U177">
        <v>18563.789611084001</v>
      </c>
      <c r="V177">
        <v>-26817.053213405499</v>
      </c>
      <c r="W177">
        <v>9711.8400396631605</v>
      </c>
      <c r="X177">
        <v>-5529.7521130572104</v>
      </c>
      <c r="Y177">
        <v>-7872</v>
      </c>
      <c r="Z177">
        <v>-3660</v>
      </c>
      <c r="AA177">
        <v>-25909.886428485799</v>
      </c>
      <c r="AC177">
        <v>39143</v>
      </c>
      <c r="AD177">
        <v>3721.31429726436</v>
      </c>
      <c r="AE177">
        <v>17111.399556836899</v>
      </c>
      <c r="AF177">
        <v>4895.1289307161096</v>
      </c>
      <c r="AG177">
        <v>-261.17629204357399</v>
      </c>
      <c r="AH177">
        <v>4998</v>
      </c>
      <c r="AI177">
        <v>15950.064523945701</v>
      </c>
      <c r="AK177">
        <v>-7324.4776499999998</v>
      </c>
      <c r="AL177">
        <v>1107</v>
      </c>
      <c r="AM177">
        <v>-9248</v>
      </c>
      <c r="AN177">
        <v>-10400</v>
      </c>
      <c r="AP177">
        <v>17903.462609634898</v>
      </c>
      <c r="AQ177">
        <v>1376</v>
      </c>
      <c r="AR177">
        <v>6400</v>
      </c>
      <c r="AS177">
        <v>-531.091227820992</v>
      </c>
      <c r="AT177">
        <v>-50.350172257372797</v>
      </c>
      <c r="AU177">
        <v>-3848.8507271079402</v>
      </c>
      <c r="AV177">
        <v>-10320.3769438284</v>
      </c>
      <c r="AW177">
        <v>-375.04543558207399</v>
      </c>
      <c r="AX177">
        <v>16503.482728055998</v>
      </c>
      <c r="AY177">
        <v>0</v>
      </c>
      <c r="AZ177">
        <v>0</v>
      </c>
      <c r="BA177">
        <v>7169.1899999998795</v>
      </c>
      <c r="BB177">
        <v>3860.7353304110802</v>
      </c>
      <c r="BC177">
        <v>-254.417194823496</v>
      </c>
      <c r="BE177">
        <f t="shared" si="4"/>
        <v>267887.21682546532</v>
      </c>
      <c r="BF177">
        <f t="shared" si="5"/>
        <v>45082457.068709888</v>
      </c>
    </row>
    <row r="178" spans="1:58" x14ac:dyDescent="0.2">
      <c r="A178" s="1">
        <v>45434</v>
      </c>
      <c r="B178">
        <v>-2171</v>
      </c>
      <c r="C178">
        <v>-165.868691611961</v>
      </c>
      <c r="D178">
        <v>-1625.4205531883899</v>
      </c>
      <c r="E178">
        <v>-11470</v>
      </c>
      <c r="F178">
        <v>1561.01385580176</v>
      </c>
      <c r="G178">
        <v>-2619.6049056808401</v>
      </c>
      <c r="H178">
        <v>-1526.0834159999999</v>
      </c>
      <c r="I178">
        <v>-1687.0772198167799</v>
      </c>
      <c r="J178">
        <v>-12879.173913816199</v>
      </c>
      <c r="L178">
        <v>504.56364776387801</v>
      </c>
      <c r="M178">
        <v>1418.4</v>
      </c>
      <c r="N178">
        <v>-5656.7908799999605</v>
      </c>
      <c r="O178">
        <v>-3346.78065273639</v>
      </c>
      <c r="P178">
        <v>-16779.733078441601</v>
      </c>
      <c r="Q178">
        <v>-4121.02932380313</v>
      </c>
      <c r="R178">
        <v>-4697.08413131413</v>
      </c>
      <c r="T178">
        <v>2494.8653033150499</v>
      </c>
      <c r="U178">
        <v>-11232</v>
      </c>
      <c r="V178">
        <v>6708.0264501354104</v>
      </c>
      <c r="W178">
        <v>-1296</v>
      </c>
      <c r="X178">
        <v>7986</v>
      </c>
      <c r="Y178">
        <v>-5572.8744963891704</v>
      </c>
      <c r="Z178">
        <v>5307</v>
      </c>
      <c r="AA178">
        <v>5938.3066982436803</v>
      </c>
      <c r="AC178">
        <v>-19890</v>
      </c>
      <c r="AD178">
        <v>-870.76290462732402</v>
      </c>
      <c r="AE178">
        <v>17612</v>
      </c>
      <c r="AF178">
        <v>-4840</v>
      </c>
      <c r="AG178">
        <v>-8206</v>
      </c>
      <c r="AH178">
        <v>2360.0283570144702</v>
      </c>
      <c r="AI178">
        <v>3478.6733021089199</v>
      </c>
      <c r="AK178">
        <v>4170.0702000000001</v>
      </c>
      <c r="AL178">
        <v>-324</v>
      </c>
      <c r="AM178">
        <v>21624</v>
      </c>
      <c r="AN178">
        <v>21515</v>
      </c>
      <c r="AP178">
        <v>-5724.3010521450196</v>
      </c>
      <c r="AQ178">
        <v>6536</v>
      </c>
      <c r="AR178">
        <v>-49302.198200721097</v>
      </c>
      <c r="AS178">
        <v>-23.036334016367601</v>
      </c>
      <c r="AT178">
        <v>-44.564936232597702</v>
      </c>
      <c r="AU178">
        <v>6246.1786204263899</v>
      </c>
      <c r="AV178">
        <v>8081.9119720245999</v>
      </c>
      <c r="AW178">
        <v>1346.76870115733</v>
      </c>
      <c r="AX178">
        <v>-6083.4975843584198</v>
      </c>
      <c r="AY178">
        <v>0</v>
      </c>
      <c r="AZ178">
        <v>0</v>
      </c>
      <c r="BA178">
        <v>11320.6921766706</v>
      </c>
      <c r="BB178">
        <v>5335</v>
      </c>
      <c r="BC178">
        <v>1410.0864297852099</v>
      </c>
      <c r="BE178">
        <f t="shared" si="4"/>
        <v>-39200.296560452036</v>
      </c>
      <c r="BF178">
        <f t="shared" si="5"/>
        <v>45043256.772149436</v>
      </c>
    </row>
    <row r="179" spans="1:58" x14ac:dyDescent="0.2">
      <c r="A179" s="1">
        <v>45435</v>
      </c>
      <c r="B179">
        <v>-9984</v>
      </c>
      <c r="C179">
        <v>838.73276574691499</v>
      </c>
      <c r="D179">
        <v>1498</v>
      </c>
      <c r="E179">
        <v>19220</v>
      </c>
      <c r="F179">
        <v>-2055.8420274166101</v>
      </c>
      <c r="G179">
        <v>9148.2347364160796</v>
      </c>
      <c r="H179">
        <v>0</v>
      </c>
      <c r="I179">
        <v>9553.9900013384995</v>
      </c>
      <c r="J179">
        <v>4158</v>
      </c>
      <c r="L179">
        <v>23000</v>
      </c>
      <c r="M179">
        <v>2007</v>
      </c>
      <c r="N179">
        <v>-7431.55404000006</v>
      </c>
      <c r="O179">
        <v>4316.6273635369598</v>
      </c>
      <c r="P179">
        <v>6414.7506954621203</v>
      </c>
      <c r="Q179">
        <v>5591.8141389953898</v>
      </c>
      <c r="R179">
        <v>9508.6470404046195</v>
      </c>
      <c r="T179">
        <v>-4450</v>
      </c>
      <c r="U179">
        <v>-4869.4348256478097</v>
      </c>
      <c r="V179">
        <v>-170.92759952730901</v>
      </c>
      <c r="W179">
        <v>-1296</v>
      </c>
      <c r="X179">
        <v>20900.651001021</v>
      </c>
      <c r="Y179">
        <v>-1662.4462356608201</v>
      </c>
      <c r="Z179">
        <v>7686</v>
      </c>
      <c r="AA179">
        <v>-43.883939565887196</v>
      </c>
      <c r="AC179">
        <v>24882</v>
      </c>
      <c r="AD179">
        <v>565.25574318378096</v>
      </c>
      <c r="AE179">
        <v>26196</v>
      </c>
      <c r="AF179">
        <v>-2354</v>
      </c>
      <c r="AG179">
        <v>-70</v>
      </c>
      <c r="AH179">
        <v>8602.8718008769192</v>
      </c>
      <c r="AI179">
        <v>31965.8411680588</v>
      </c>
      <c r="AK179">
        <v>7277.8600999999999</v>
      </c>
      <c r="AL179">
        <v>1251</v>
      </c>
      <c r="AM179">
        <v>5440</v>
      </c>
      <c r="AN179">
        <v>4355</v>
      </c>
      <c r="AP179">
        <v>31911.436053363199</v>
      </c>
      <c r="AQ179">
        <v>3784</v>
      </c>
      <c r="AR179">
        <v>20010.9825476271</v>
      </c>
      <c r="AS179">
        <v>34.0284452724906</v>
      </c>
      <c r="AT179">
        <v>200.192775197093</v>
      </c>
      <c r="AU179">
        <v>-7263.1057841894599</v>
      </c>
      <c r="AV179">
        <v>0</v>
      </c>
      <c r="AW179">
        <v>1526.8418523151499</v>
      </c>
      <c r="AX179">
        <v>8216</v>
      </c>
      <c r="AY179">
        <v>0</v>
      </c>
      <c r="AZ179">
        <v>0</v>
      </c>
      <c r="BA179">
        <v>12035.7404442529</v>
      </c>
      <c r="BB179">
        <v>-5115</v>
      </c>
      <c r="BC179">
        <v>78</v>
      </c>
      <c r="BE179">
        <f t="shared" si="4"/>
        <v>265409.30422106106</v>
      </c>
      <c r="BF179">
        <f t="shared" si="5"/>
        <v>45308666.0763705</v>
      </c>
    </row>
    <row r="180" spans="1:58" x14ac:dyDescent="0.2">
      <c r="A180" s="1">
        <v>45436</v>
      </c>
      <c r="B180">
        <v>-11180</v>
      </c>
      <c r="C180">
        <v>-2372.3877593972402</v>
      </c>
      <c r="D180">
        <v>1282.3859322753799</v>
      </c>
      <c r="E180">
        <v>-620</v>
      </c>
      <c r="F180">
        <v>2323.14190579243</v>
      </c>
      <c r="G180">
        <v>17587.5344729959</v>
      </c>
      <c r="H180">
        <v>383.41055250106899</v>
      </c>
      <c r="I180">
        <v>10124.036132892799</v>
      </c>
      <c r="J180">
        <v>19278</v>
      </c>
      <c r="L180">
        <v>7150</v>
      </c>
      <c r="M180">
        <v>1050.4509038014701</v>
      </c>
      <c r="N180">
        <v>-1942.1931940224699</v>
      </c>
      <c r="O180">
        <v>17921.309629932799</v>
      </c>
      <c r="P180">
        <v>18920</v>
      </c>
      <c r="Q180">
        <v>14217.2473741135</v>
      </c>
      <c r="R180">
        <v>37768.131834534703</v>
      </c>
      <c r="T180">
        <v>6357.4350369099302</v>
      </c>
      <c r="U180">
        <v>526.06770936237206</v>
      </c>
      <c r="V180">
        <v>-8400</v>
      </c>
      <c r="W180">
        <v>-3216</v>
      </c>
      <c r="X180">
        <v>16422</v>
      </c>
      <c r="Y180">
        <v>-5819.5804608057197</v>
      </c>
      <c r="Z180">
        <v>18117</v>
      </c>
      <c r="AA180">
        <v>-10147.0095412421</v>
      </c>
      <c r="AC180">
        <v>44187</v>
      </c>
      <c r="AD180">
        <v>1340</v>
      </c>
      <c r="AE180">
        <v>-13616</v>
      </c>
      <c r="AF180">
        <v>-91.876530148515599</v>
      </c>
      <c r="AG180">
        <v>-6460</v>
      </c>
      <c r="AH180">
        <v>-5911.7701049182597</v>
      </c>
      <c r="AI180">
        <v>21846</v>
      </c>
      <c r="AK180">
        <v>-15557.55075</v>
      </c>
      <c r="AL180">
        <v>-990</v>
      </c>
      <c r="AM180">
        <v>-19992</v>
      </c>
      <c r="AN180">
        <v>-21450</v>
      </c>
      <c r="AP180">
        <v>53592</v>
      </c>
      <c r="AQ180">
        <v>9168.2469457161897</v>
      </c>
      <c r="AR180">
        <v>23941.643950737602</v>
      </c>
      <c r="AS180">
        <v>2228</v>
      </c>
      <c r="AT180">
        <v>566.70742021853903</v>
      </c>
      <c r="AU180">
        <v>-6210</v>
      </c>
      <c r="AV180">
        <v>-4590</v>
      </c>
      <c r="AW180">
        <v>5503.8862622002098</v>
      </c>
      <c r="AX180">
        <v>13355.5337532049</v>
      </c>
      <c r="AY180">
        <v>0</v>
      </c>
      <c r="AZ180">
        <v>12034.37592</v>
      </c>
      <c r="BA180">
        <v>-4739.0394007447903</v>
      </c>
      <c r="BB180">
        <v>13090</v>
      </c>
      <c r="BC180">
        <v>-1118</v>
      </c>
      <c r="BE180">
        <f t="shared" si="4"/>
        <v>245858.13799591071</v>
      </c>
      <c r="BF180">
        <f t="shared" si="5"/>
        <v>45554524.214366414</v>
      </c>
    </row>
    <row r="181" spans="1:58" x14ac:dyDescent="0.2">
      <c r="A181" s="1">
        <v>45439</v>
      </c>
      <c r="B181">
        <v>-24104.373357820499</v>
      </c>
      <c r="C181">
        <v>-6176</v>
      </c>
      <c r="D181">
        <v>3336.76784211223</v>
      </c>
      <c r="E181">
        <v>-36890</v>
      </c>
      <c r="F181">
        <v>36622.108179705501</v>
      </c>
      <c r="G181">
        <v>31597.334012838801</v>
      </c>
      <c r="H181">
        <v>7511.5658043501498</v>
      </c>
      <c r="I181">
        <v>23672.000028214199</v>
      </c>
      <c r="J181">
        <v>30030</v>
      </c>
      <c r="L181">
        <v>31050</v>
      </c>
      <c r="M181">
        <v>766.07465655568103</v>
      </c>
      <c r="N181">
        <v>1515.9739400000001</v>
      </c>
      <c r="O181">
        <v>19150.230034316101</v>
      </c>
      <c r="P181">
        <v>52460</v>
      </c>
      <c r="Q181">
        <v>25595.280655906299</v>
      </c>
      <c r="R181">
        <v>12663</v>
      </c>
      <c r="T181">
        <v>8944</v>
      </c>
      <c r="U181">
        <v>-27911.316115511901</v>
      </c>
      <c r="V181">
        <v>-16471.992689163799</v>
      </c>
      <c r="W181">
        <v>1317.93207254658</v>
      </c>
      <c r="X181">
        <v>51748</v>
      </c>
      <c r="Y181">
        <v>-8160.3799396969098</v>
      </c>
      <c r="Z181">
        <v>-3297.4485537929199</v>
      </c>
      <c r="AA181">
        <v>-17409.141171724201</v>
      </c>
      <c r="AC181">
        <v>15587.0076866031</v>
      </c>
      <c r="AD181">
        <v>2960</v>
      </c>
      <c r="AE181">
        <v>6956</v>
      </c>
      <c r="AF181">
        <v>2071.25359829953</v>
      </c>
      <c r="AG181">
        <v>-7962</v>
      </c>
      <c r="AH181">
        <v>-31058</v>
      </c>
      <c r="AI181">
        <v>22508</v>
      </c>
      <c r="AK181">
        <v>-35073.7166</v>
      </c>
      <c r="AL181">
        <v>-927</v>
      </c>
      <c r="AM181">
        <v>-31824</v>
      </c>
      <c r="AN181">
        <v>-36083.333169919402</v>
      </c>
      <c r="AP181">
        <v>77813.925018662194</v>
      </c>
      <c r="AQ181">
        <v>27391.0079565376</v>
      </c>
      <c r="AR181">
        <v>28548</v>
      </c>
      <c r="AS181">
        <v>3016.7084411462101</v>
      </c>
      <c r="AT181">
        <v>1998.53409566696</v>
      </c>
      <c r="AU181">
        <v>-9855</v>
      </c>
      <c r="AV181">
        <v>0</v>
      </c>
      <c r="AW181">
        <v>4134.3552937416198</v>
      </c>
      <c r="AX181">
        <v>25722.511261238498</v>
      </c>
      <c r="AY181">
        <v>0</v>
      </c>
      <c r="AZ181">
        <v>-1611.4438164503899</v>
      </c>
      <c r="BA181">
        <v>959.44799999980899</v>
      </c>
      <c r="BB181">
        <v>9790</v>
      </c>
      <c r="BC181">
        <v>-6173.7125468045997</v>
      </c>
      <c r="BE181">
        <f t="shared" si="4"/>
        <v>266448.16061755642</v>
      </c>
      <c r="BF181">
        <f t="shared" si="5"/>
        <v>45820972.374983966</v>
      </c>
    </row>
    <row r="182" spans="1:58" x14ac:dyDescent="0.2">
      <c r="A182" s="1">
        <v>45440</v>
      </c>
      <c r="B182">
        <v>-938.66879638661806</v>
      </c>
      <c r="C182">
        <v>4906.4324976734997</v>
      </c>
      <c r="D182">
        <v>-119.78344009577999</v>
      </c>
      <c r="E182">
        <v>9877.3208036105607</v>
      </c>
      <c r="F182">
        <v>-8410</v>
      </c>
      <c r="G182">
        <v>-5901.99999999995</v>
      </c>
      <c r="H182">
        <v>-10627.1637190075</v>
      </c>
      <c r="I182">
        <v>-7695</v>
      </c>
      <c r="J182">
        <v>2100</v>
      </c>
      <c r="L182">
        <v>-2600</v>
      </c>
      <c r="M182">
        <v>487.80473364895602</v>
      </c>
      <c r="N182">
        <v>813.25246037841805</v>
      </c>
      <c r="O182">
        <v>8001.7407368948298</v>
      </c>
      <c r="P182">
        <v>5747.2734726405297</v>
      </c>
      <c r="Q182">
        <v>3840</v>
      </c>
      <c r="R182">
        <v>-9648</v>
      </c>
      <c r="T182">
        <v>-4708</v>
      </c>
      <c r="U182">
        <v>-1980.1836238726501</v>
      </c>
      <c r="V182">
        <v>481.13238011310199</v>
      </c>
      <c r="W182">
        <v>5214</v>
      </c>
      <c r="X182">
        <v>-14709.6784420569</v>
      </c>
      <c r="Y182">
        <v>1029.95898590506</v>
      </c>
      <c r="Z182">
        <v>-1669.7589183606899</v>
      </c>
      <c r="AA182">
        <v>459.58664261597499</v>
      </c>
      <c r="AC182">
        <v>12960</v>
      </c>
      <c r="AD182">
        <v>-660</v>
      </c>
      <c r="AE182">
        <v>-3256</v>
      </c>
      <c r="AF182">
        <v>-1292</v>
      </c>
      <c r="AG182">
        <v>-990.40086946003498</v>
      </c>
      <c r="AH182">
        <v>12066.606572506</v>
      </c>
      <c r="AI182">
        <v>-14566.7865800769</v>
      </c>
      <c r="AK182">
        <v>-1186.1774700332701</v>
      </c>
      <c r="AL182">
        <v>754.82029557785597</v>
      </c>
      <c r="AM182">
        <v>7642.7939561686499</v>
      </c>
      <c r="AN182">
        <v>9635.4896531733302</v>
      </c>
      <c r="AP182">
        <v>-6508.8408214107603</v>
      </c>
      <c r="AQ182">
        <v>-16905</v>
      </c>
      <c r="AR182">
        <v>468</v>
      </c>
      <c r="AS182">
        <v>2340.3471784520102</v>
      </c>
      <c r="AT182">
        <v>-3127.9911948977701</v>
      </c>
      <c r="AU182">
        <v>-1175.6233983980501</v>
      </c>
      <c r="AV182">
        <v>-2018.07325015419</v>
      </c>
      <c r="AW182">
        <v>-2531.7881824188498</v>
      </c>
      <c r="AX182">
        <v>-4928</v>
      </c>
      <c r="AY182">
        <v>-5315.90415999983</v>
      </c>
      <c r="AZ182">
        <v>-14507.614434876899</v>
      </c>
      <c r="BA182">
        <v>2962.4770014289202</v>
      </c>
      <c r="BB182">
        <v>-2385.0506809365802</v>
      </c>
      <c r="BC182">
        <v>-264.42809979519097</v>
      </c>
      <c r="BE182">
        <f t="shared" si="4"/>
        <v>-58838.878711450729</v>
      </c>
      <c r="BF182">
        <f t="shared" si="5"/>
        <v>45762133.496272519</v>
      </c>
    </row>
    <row r="183" spans="1:58" x14ac:dyDescent="0.2">
      <c r="A183" s="1">
        <v>45441</v>
      </c>
      <c r="B183">
        <v>304.66610563502502</v>
      </c>
      <c r="C183">
        <v>1606</v>
      </c>
      <c r="D183">
        <v>3122.5496759755301</v>
      </c>
      <c r="E183">
        <v>-8064</v>
      </c>
      <c r="F183">
        <v>-26680</v>
      </c>
      <c r="G183">
        <v>-25877.999999999702</v>
      </c>
      <c r="H183">
        <v>-16537.219848000001</v>
      </c>
      <c r="I183">
        <v>-10098</v>
      </c>
      <c r="J183">
        <v>9950.4723917237698</v>
      </c>
      <c r="L183">
        <v>1650</v>
      </c>
      <c r="M183">
        <v>57.416899454205101</v>
      </c>
      <c r="N183">
        <v>0</v>
      </c>
      <c r="O183">
        <v>-15519.540121526399</v>
      </c>
      <c r="P183">
        <v>6556</v>
      </c>
      <c r="Q183">
        <v>40320</v>
      </c>
      <c r="R183">
        <v>33768</v>
      </c>
      <c r="T183">
        <v>816</v>
      </c>
      <c r="U183">
        <v>-4509.2963154731797</v>
      </c>
      <c r="V183">
        <v>-1775</v>
      </c>
      <c r="W183">
        <v>8426</v>
      </c>
      <c r="X183">
        <v>-7963.3643043618504</v>
      </c>
      <c r="Y183">
        <v>-5877.8426105040799</v>
      </c>
      <c r="Z183">
        <v>-1329.7265796527199</v>
      </c>
      <c r="AA183">
        <v>-1207.7942244528299</v>
      </c>
      <c r="AC183">
        <v>2064</v>
      </c>
      <c r="AD183">
        <v>4140</v>
      </c>
      <c r="AE183">
        <v>44104</v>
      </c>
      <c r="AF183">
        <v>-1805</v>
      </c>
      <c r="AG183">
        <v>-5381.8283225407504</v>
      </c>
      <c r="AH183">
        <v>-2840.9961463948698</v>
      </c>
      <c r="AI183">
        <v>17982</v>
      </c>
      <c r="AK183">
        <v>-6081.4774229650002</v>
      </c>
      <c r="AL183">
        <v>540</v>
      </c>
      <c r="AM183">
        <v>11577.715874617201</v>
      </c>
      <c r="AN183">
        <v>10797.524862615001</v>
      </c>
      <c r="AP183">
        <v>-7896.43323850246</v>
      </c>
      <c r="AQ183">
        <v>29900</v>
      </c>
      <c r="AR183">
        <v>22698</v>
      </c>
      <c r="AS183">
        <v>-2537.3722460538802</v>
      </c>
      <c r="AT183">
        <v>1734</v>
      </c>
      <c r="AU183">
        <v>9183.7004185072892</v>
      </c>
      <c r="AV183">
        <v>-824.84994956682397</v>
      </c>
      <c r="AW183">
        <v>19590.8454084191</v>
      </c>
      <c r="AX183">
        <v>-23632</v>
      </c>
      <c r="AY183">
        <v>-2293.8642827994099</v>
      </c>
      <c r="AZ183">
        <v>0</v>
      </c>
      <c r="BA183">
        <v>13041.5690103914</v>
      </c>
      <c r="BB183">
        <v>-501.310521130457</v>
      </c>
      <c r="BC183">
        <v>-4377.1888970897398</v>
      </c>
      <c r="BE183">
        <f t="shared" si="4"/>
        <v>110318.35561632436</v>
      </c>
      <c r="BF183">
        <f t="shared" si="5"/>
        <v>45872451.851888843</v>
      </c>
    </row>
    <row r="184" spans="1:58" x14ac:dyDescent="0.2">
      <c r="A184" s="1">
        <v>45442</v>
      </c>
      <c r="B184">
        <v>-3264.6322074780301</v>
      </c>
      <c r="C184">
        <v>1655.6673573529899</v>
      </c>
      <c r="D184">
        <v>-474.13496021659199</v>
      </c>
      <c r="E184">
        <v>-19440.471460569799</v>
      </c>
      <c r="F184">
        <v>34443.539267278597</v>
      </c>
      <c r="G184">
        <v>-13165.9999999999</v>
      </c>
      <c r="H184">
        <v>2290.3370279002502</v>
      </c>
      <c r="I184">
        <v>-14067</v>
      </c>
      <c r="J184">
        <v>-3443.4787576752101</v>
      </c>
      <c r="L184">
        <v>8150</v>
      </c>
      <c r="M184">
        <v>-1672.21097772602</v>
      </c>
      <c r="N184">
        <v>0</v>
      </c>
      <c r="O184">
        <v>-1287.99999999994</v>
      </c>
      <c r="P184">
        <v>19185.636810416599</v>
      </c>
      <c r="Q184">
        <v>-12160</v>
      </c>
      <c r="R184">
        <v>13266</v>
      </c>
      <c r="T184">
        <v>1316</v>
      </c>
      <c r="U184">
        <v>-977.75698118102798</v>
      </c>
      <c r="V184">
        <v>5600</v>
      </c>
      <c r="W184">
        <v>611.88253239276401</v>
      </c>
      <c r="X184">
        <v>-3081.3647012088099</v>
      </c>
      <c r="Y184">
        <v>-589.53101011087995</v>
      </c>
      <c r="Z184">
        <v>2485.7094077575598</v>
      </c>
      <c r="AA184">
        <v>5500</v>
      </c>
      <c r="AC184">
        <v>23928</v>
      </c>
      <c r="AD184">
        <v>-3330</v>
      </c>
      <c r="AE184">
        <v>-7339.8486285850204</v>
      </c>
      <c r="AF184">
        <v>1869.43886732286</v>
      </c>
      <c r="AG184">
        <v>-117.53146732568899</v>
      </c>
      <c r="AH184">
        <v>-14407.314075230701</v>
      </c>
      <c r="AI184">
        <v>9657</v>
      </c>
      <c r="AK184">
        <v>-28559.334386757699</v>
      </c>
      <c r="AL184">
        <v>-546</v>
      </c>
      <c r="AM184">
        <v>-15582</v>
      </c>
      <c r="AN184">
        <v>-11792</v>
      </c>
      <c r="AP184">
        <v>24682.209839959502</v>
      </c>
      <c r="AQ184">
        <v>-6684.7387672203504</v>
      </c>
      <c r="AR184">
        <v>2574</v>
      </c>
      <c r="AS184">
        <v>3808</v>
      </c>
      <c r="AT184">
        <v>1683.39247806393</v>
      </c>
      <c r="AU184">
        <v>-1190</v>
      </c>
      <c r="AV184">
        <v>-450.93880895695798</v>
      </c>
      <c r="AW184">
        <v>-12159</v>
      </c>
      <c r="AX184">
        <v>-6748</v>
      </c>
      <c r="AY184">
        <v>0</v>
      </c>
      <c r="AZ184">
        <v>-10686.19318</v>
      </c>
      <c r="BA184">
        <v>-13125.5519241731</v>
      </c>
      <c r="BB184">
        <v>3181.6841295301001</v>
      </c>
      <c r="BC184">
        <v>1776</v>
      </c>
      <c r="BE184">
        <f t="shared" si="4"/>
        <v>-38678.534576440579</v>
      </c>
      <c r="BF184">
        <f t="shared" si="5"/>
        <v>45833773.317312405</v>
      </c>
    </row>
    <row r="185" spans="1:58" x14ac:dyDescent="0.2">
      <c r="A185" s="1">
        <v>45443</v>
      </c>
      <c r="B185">
        <v>-1977.72634633239</v>
      </c>
      <c r="C185">
        <v>4743.4606612144898</v>
      </c>
      <c r="D185">
        <v>4849.6697093640196</v>
      </c>
      <c r="E185">
        <v>-15033.6060493</v>
      </c>
      <c r="F185">
        <v>-3983.9015657059299</v>
      </c>
      <c r="G185">
        <v>-3190.3207601860699</v>
      </c>
      <c r="H185">
        <v>-2432.5704318429998</v>
      </c>
      <c r="I185">
        <v>-5805</v>
      </c>
      <c r="J185">
        <v>19796.490533734199</v>
      </c>
      <c r="L185">
        <v>400</v>
      </c>
      <c r="M185">
        <v>2980.7924794366099</v>
      </c>
      <c r="N185">
        <v>0</v>
      </c>
      <c r="O185">
        <v>4968.0000000001801</v>
      </c>
      <c r="P185">
        <v>40382.4667044503</v>
      </c>
      <c r="Q185">
        <v>24960</v>
      </c>
      <c r="R185">
        <v>80199</v>
      </c>
      <c r="T185">
        <v>6148</v>
      </c>
      <c r="U185">
        <v>-10807.1358510235</v>
      </c>
      <c r="V185">
        <v>4975</v>
      </c>
      <c r="W185">
        <v>-13240.3145482089</v>
      </c>
      <c r="X185">
        <v>25527.2521713803</v>
      </c>
      <c r="Y185">
        <v>-2734.0658759592802</v>
      </c>
      <c r="Z185">
        <v>13037.3309906758</v>
      </c>
      <c r="AA185">
        <v>5092.5811539305096</v>
      </c>
      <c r="AC185">
        <v>21732</v>
      </c>
      <c r="AD185">
        <v>1660</v>
      </c>
      <c r="AE185">
        <v>11310</v>
      </c>
      <c r="AF185">
        <v>3632</v>
      </c>
      <c r="AG185">
        <v>4789</v>
      </c>
      <c r="AH185">
        <v>-11866.964873155999</v>
      </c>
      <c r="AI185">
        <v>23976</v>
      </c>
      <c r="AK185">
        <v>-20025.216645340399</v>
      </c>
      <c r="AL185">
        <v>-432</v>
      </c>
      <c r="AM185">
        <v>-21745.1135777989</v>
      </c>
      <c r="AN185">
        <v>-16160.4303746322</v>
      </c>
      <c r="AP185">
        <v>37236.207214632799</v>
      </c>
      <c r="AQ185">
        <v>19907.021411696998</v>
      </c>
      <c r="AR185">
        <v>33462</v>
      </c>
      <c r="AS185">
        <v>5793.1636805350099</v>
      </c>
      <c r="AT185">
        <v>1847.8168253430499</v>
      </c>
      <c r="AU185">
        <v>-3220</v>
      </c>
      <c r="AV185">
        <v>-237.998877887737</v>
      </c>
      <c r="AW185">
        <v>9071</v>
      </c>
      <c r="AX185">
        <v>-2548</v>
      </c>
      <c r="AY185">
        <v>4103.6334900001002</v>
      </c>
      <c r="AZ185">
        <v>-8507.3646000000008</v>
      </c>
      <c r="BA185">
        <v>5444.68799999969</v>
      </c>
      <c r="BB185">
        <v>2494.78749665945</v>
      </c>
      <c r="BC185">
        <v>7434.19750034966</v>
      </c>
      <c r="BE185">
        <f t="shared" si="4"/>
        <v>288005.82964602881</v>
      </c>
      <c r="BF185">
        <f t="shared" si="5"/>
        <v>46121779.146958433</v>
      </c>
    </row>
    <row r="186" spans="1:58" x14ac:dyDescent="0.2">
      <c r="A186" s="1">
        <v>45446</v>
      </c>
      <c r="B186">
        <v>-595.95249051585097</v>
      </c>
      <c r="C186">
        <v>3616.7236605501198</v>
      </c>
      <c r="D186">
        <v>5622.6410337125699</v>
      </c>
      <c r="E186">
        <v>-7259.3047473679298</v>
      </c>
      <c r="F186">
        <v>8364</v>
      </c>
      <c r="G186">
        <v>30596.2778361132</v>
      </c>
      <c r="H186">
        <v>9702.6224753648894</v>
      </c>
      <c r="I186">
        <v>23502.954040456701</v>
      </c>
      <c r="J186">
        <v>-180</v>
      </c>
      <c r="L186">
        <v>20050</v>
      </c>
      <c r="M186">
        <v>3781.0867211802802</v>
      </c>
      <c r="N186">
        <v>0</v>
      </c>
      <c r="O186">
        <v>26679.999999999902</v>
      </c>
      <c r="P186">
        <v>5139.9760168740604</v>
      </c>
      <c r="Q186">
        <v>-13440</v>
      </c>
      <c r="R186">
        <v>58714.984110408899</v>
      </c>
      <c r="T186">
        <v>-1134.6772828077301</v>
      </c>
      <c r="U186">
        <v>-32254.978052708899</v>
      </c>
      <c r="V186">
        <v>7152.0719372446201</v>
      </c>
      <c r="W186">
        <v>-11316.747523321799</v>
      </c>
      <c r="X186">
        <v>7504</v>
      </c>
      <c r="Y186">
        <v>-537.21847068973</v>
      </c>
      <c r="Z186">
        <v>381.78981282976503</v>
      </c>
      <c r="AA186">
        <v>9248.3672313393909</v>
      </c>
      <c r="AC186">
        <v>22668</v>
      </c>
      <c r="AD186">
        <v>2520</v>
      </c>
      <c r="AE186">
        <v>1430</v>
      </c>
      <c r="AF186">
        <v>-784</v>
      </c>
      <c r="AG186">
        <v>2512.7299943406601</v>
      </c>
      <c r="AH186">
        <v>-1428.63852410037</v>
      </c>
      <c r="AI186">
        <v>-3996</v>
      </c>
      <c r="AK186">
        <v>-11263.0490910074</v>
      </c>
      <c r="AL186">
        <v>-1005.04730783564</v>
      </c>
      <c r="AM186">
        <v>-19803.402929103901</v>
      </c>
      <c r="AN186">
        <v>-19217.2423126582</v>
      </c>
      <c r="AP186">
        <v>44420.533789746398</v>
      </c>
      <c r="AQ186">
        <v>24634</v>
      </c>
      <c r="AR186">
        <v>-468</v>
      </c>
      <c r="AS186">
        <v>9848</v>
      </c>
      <c r="AT186">
        <v>5344.1430844859897</v>
      </c>
      <c r="AU186">
        <v>-3789.02046096615</v>
      </c>
      <c r="AV186">
        <v>-158.181442420558</v>
      </c>
      <c r="AW186">
        <v>1158</v>
      </c>
      <c r="AX186">
        <v>29951.5115866786</v>
      </c>
      <c r="AY186">
        <v>11150.301809999801</v>
      </c>
      <c r="AZ186">
        <v>-18476.067840502001</v>
      </c>
      <c r="BA186">
        <v>-5527.2191999996803</v>
      </c>
      <c r="BB186">
        <v>11326.713524999999</v>
      </c>
      <c r="BC186">
        <v>7033.4517772932504</v>
      </c>
      <c r="BE186">
        <f t="shared" si="4"/>
        <v>241420.13276761325</v>
      </c>
      <c r="BF186">
        <f t="shared" si="5"/>
        <v>46363199.279726043</v>
      </c>
    </row>
    <row r="187" spans="1:58" x14ac:dyDescent="0.2">
      <c r="A187" s="1">
        <v>45447</v>
      </c>
      <c r="B187">
        <v>-2523</v>
      </c>
      <c r="C187">
        <v>-1899.6222784408999</v>
      </c>
      <c r="D187">
        <v>-13485.422468111999</v>
      </c>
      <c r="E187">
        <v>31653.215880294301</v>
      </c>
      <c r="F187">
        <v>9471</v>
      </c>
      <c r="G187">
        <v>6239.9999999998599</v>
      </c>
      <c r="H187">
        <v>-8157.7085360000001</v>
      </c>
      <c r="I187">
        <v>11258</v>
      </c>
      <c r="J187">
        <v>-11433.510183890399</v>
      </c>
      <c r="L187">
        <v>-5202.4386998909104</v>
      </c>
      <c r="M187">
        <v>3394.34484837841</v>
      </c>
      <c r="N187">
        <v>0</v>
      </c>
      <c r="O187">
        <v>40111.999999999898</v>
      </c>
      <c r="P187">
        <v>-23058</v>
      </c>
      <c r="Q187">
        <v>-34577.061223006902</v>
      </c>
      <c r="R187">
        <v>-38547.364815373097</v>
      </c>
      <c r="T187">
        <v>115</v>
      </c>
      <c r="U187">
        <v>1603.2221710218</v>
      </c>
      <c r="V187">
        <v>-6850</v>
      </c>
      <c r="W187">
        <v>24643.473064300699</v>
      </c>
      <c r="X187">
        <v>-9688</v>
      </c>
      <c r="Y187">
        <v>-1156.1104013848001</v>
      </c>
      <c r="Z187">
        <v>-8641.2405893154391</v>
      </c>
      <c r="AA187">
        <v>-5549.1212129852502</v>
      </c>
      <c r="AC187">
        <v>-2592</v>
      </c>
      <c r="AD187">
        <v>-1050</v>
      </c>
      <c r="AE187">
        <v>6240</v>
      </c>
      <c r="AF187">
        <v>-240</v>
      </c>
      <c r="AG187">
        <v>-1810</v>
      </c>
      <c r="AH187">
        <v>3057.2037082341099</v>
      </c>
      <c r="AI187">
        <v>-28305</v>
      </c>
      <c r="AK187">
        <v>7374.2157064651501</v>
      </c>
      <c r="AL187">
        <v>-59.929750249774898</v>
      </c>
      <c r="AM187">
        <v>15632.4417766608</v>
      </c>
      <c r="AN187">
        <v>14756.5304123807</v>
      </c>
      <c r="AP187">
        <v>-37048.757522637097</v>
      </c>
      <c r="AQ187">
        <v>6754.9730519975201</v>
      </c>
      <c r="AR187">
        <v>-1638</v>
      </c>
      <c r="AS187">
        <v>-5728.2198120358198</v>
      </c>
      <c r="AT187">
        <v>-12857.898748581099</v>
      </c>
      <c r="AU187">
        <v>7402.8619430931503</v>
      </c>
      <c r="AV187">
        <v>-105.13425151272</v>
      </c>
      <c r="AW187">
        <v>-13124</v>
      </c>
      <c r="AX187">
        <v>8991</v>
      </c>
      <c r="AY187">
        <v>-7517.0574000002798</v>
      </c>
      <c r="AZ187">
        <v>-9715.6712425193491</v>
      </c>
      <c r="BA187">
        <v>-40348.700160000197</v>
      </c>
      <c r="BB187">
        <v>-8371.9819335897591</v>
      </c>
      <c r="BC187">
        <v>-21989.364642032098</v>
      </c>
      <c r="BE187">
        <f t="shared" si="4"/>
        <v>-164570.8333087315</v>
      </c>
      <c r="BF187">
        <f t="shared" si="5"/>
        <v>46198628.446417309</v>
      </c>
    </row>
    <row r="188" spans="1:58" x14ac:dyDescent="0.2">
      <c r="A188" s="1">
        <v>45448</v>
      </c>
      <c r="B188">
        <v>423</v>
      </c>
      <c r="C188">
        <v>3140.8957786252099</v>
      </c>
      <c r="D188">
        <v>-5631.3759974429004</v>
      </c>
      <c r="E188">
        <v>-5325.5067781294301</v>
      </c>
      <c r="F188">
        <v>16359</v>
      </c>
      <c r="G188">
        <v>2288.0000000002101</v>
      </c>
      <c r="H188">
        <v>12103.083666513399</v>
      </c>
      <c r="I188">
        <v>3146</v>
      </c>
      <c r="J188">
        <v>966</v>
      </c>
      <c r="L188">
        <v>-3468</v>
      </c>
      <c r="M188">
        <v>-8765.2415492446307</v>
      </c>
      <c r="N188">
        <v>0</v>
      </c>
      <c r="O188">
        <v>14720</v>
      </c>
      <c r="P188">
        <v>-3145.5427115513198</v>
      </c>
      <c r="Q188">
        <v>-10633.6327207746</v>
      </c>
      <c r="R188">
        <v>-42100.801796688502</v>
      </c>
      <c r="T188">
        <v>26.620940322932899</v>
      </c>
      <c r="U188">
        <v>1675.1914994656099</v>
      </c>
      <c r="V188">
        <v>-3300</v>
      </c>
      <c r="W188">
        <v>-312.50092490542397</v>
      </c>
      <c r="X188">
        <v>-32250.009785332699</v>
      </c>
      <c r="Y188">
        <v>-895</v>
      </c>
      <c r="Z188">
        <v>-4380</v>
      </c>
      <c r="AA188">
        <v>-3285</v>
      </c>
      <c r="AC188">
        <v>8616</v>
      </c>
      <c r="AD188">
        <v>-760</v>
      </c>
      <c r="AE188">
        <v>8450</v>
      </c>
      <c r="AF188">
        <v>1168</v>
      </c>
      <c r="AG188">
        <v>-6298</v>
      </c>
      <c r="AH188">
        <v>-322</v>
      </c>
      <c r="AI188">
        <v>-7994.7777054176504</v>
      </c>
      <c r="AK188">
        <v>1662.57942152447</v>
      </c>
      <c r="AL188">
        <v>-133.09903953072799</v>
      </c>
      <c r="AM188">
        <v>4172.5496842171697</v>
      </c>
      <c r="AN188">
        <v>3241.6377661442002</v>
      </c>
      <c r="AP188">
        <v>-15883.997389153399</v>
      </c>
      <c r="AQ188">
        <v>-39960</v>
      </c>
      <c r="AR188">
        <v>-10530</v>
      </c>
      <c r="AS188">
        <v>-1746</v>
      </c>
      <c r="AT188">
        <v>165</v>
      </c>
      <c r="AU188">
        <v>0</v>
      </c>
      <c r="AV188">
        <v>-209.634208807942</v>
      </c>
      <c r="AW188">
        <v>-2345.9523585500501</v>
      </c>
      <c r="AX188">
        <v>540</v>
      </c>
      <c r="AY188">
        <v>-231.42037272891201</v>
      </c>
      <c r="AZ188">
        <v>-4107.0328133227304</v>
      </c>
      <c r="BA188">
        <v>31783.823378976002</v>
      </c>
      <c r="BB188">
        <v>-847</v>
      </c>
      <c r="BC188">
        <v>-15342.983026104699</v>
      </c>
      <c r="BE188">
        <f t="shared" si="4"/>
        <v>-115557.12704189644</v>
      </c>
      <c r="BF188">
        <f t="shared" si="5"/>
        <v>46083071.319375411</v>
      </c>
    </row>
    <row r="189" spans="1:58" x14ac:dyDescent="0.2">
      <c r="A189" s="1">
        <v>45449</v>
      </c>
      <c r="B189">
        <v>492</v>
      </c>
      <c r="C189">
        <v>6435.4093405763497</v>
      </c>
      <c r="D189">
        <v>5785.4128839171999</v>
      </c>
      <c r="E189">
        <v>-10631.314656729601</v>
      </c>
      <c r="F189">
        <v>-738</v>
      </c>
      <c r="G189">
        <v>-1248.00000000004</v>
      </c>
      <c r="H189">
        <v>5360.2121299999999</v>
      </c>
      <c r="I189">
        <v>-4992</v>
      </c>
      <c r="J189">
        <v>6348</v>
      </c>
      <c r="L189">
        <v>4536.5672545818597</v>
      </c>
      <c r="M189">
        <v>-5500</v>
      </c>
      <c r="N189">
        <v>0</v>
      </c>
      <c r="O189">
        <v>15087.9999999998</v>
      </c>
      <c r="P189">
        <v>-652.19312873138699</v>
      </c>
      <c r="Q189">
        <v>10684.469045579601</v>
      </c>
      <c r="R189">
        <v>6992.9384259647004</v>
      </c>
      <c r="T189">
        <v>2625.5922911831699</v>
      </c>
      <c r="U189">
        <v>29.1944601313389</v>
      </c>
      <c r="V189">
        <v>4500</v>
      </c>
      <c r="W189">
        <v>2568</v>
      </c>
      <c r="X189">
        <v>4485.21402985021</v>
      </c>
      <c r="Y189">
        <v>615</v>
      </c>
      <c r="Z189">
        <v>4161</v>
      </c>
      <c r="AA189">
        <v>4194.00000000003</v>
      </c>
      <c r="AC189">
        <v>21384</v>
      </c>
      <c r="AD189">
        <v>960</v>
      </c>
      <c r="AE189">
        <v>2080</v>
      </c>
      <c r="AF189">
        <v>416.594763937604</v>
      </c>
      <c r="AG189">
        <v>-542</v>
      </c>
      <c r="AH189">
        <v>287</v>
      </c>
      <c r="AI189">
        <v>-3663.1526659194001</v>
      </c>
      <c r="AK189">
        <v>-1420.1184000000001</v>
      </c>
      <c r="AL189">
        <v>160.9581220327</v>
      </c>
      <c r="AM189">
        <v>-7308</v>
      </c>
      <c r="AN189">
        <v>-7368</v>
      </c>
      <c r="AP189">
        <v>18941.7025359441</v>
      </c>
      <c r="AQ189">
        <v>-2040.8372768942199</v>
      </c>
      <c r="AR189">
        <v>3510</v>
      </c>
      <c r="AS189">
        <v>450</v>
      </c>
      <c r="AT189">
        <v>2116.0831994602199</v>
      </c>
      <c r="AU189">
        <v>164</v>
      </c>
      <c r="AV189">
        <v>-235.131322944332</v>
      </c>
      <c r="AW189">
        <v>10115.824873284701</v>
      </c>
      <c r="AX189">
        <v>-2349</v>
      </c>
      <c r="AY189">
        <v>7030.2924000002604</v>
      </c>
      <c r="AZ189">
        <v>-884.30169725519102</v>
      </c>
      <c r="BA189">
        <v>4205.1972299999497</v>
      </c>
      <c r="BB189">
        <v>5236</v>
      </c>
      <c r="BC189">
        <v>564.70615269401003</v>
      </c>
      <c r="BE189">
        <f t="shared" si="4"/>
        <v>112951.31999066361</v>
      </c>
      <c r="BF189">
        <f t="shared" si="5"/>
        <v>46196022.639366075</v>
      </c>
    </row>
    <row r="190" spans="1:58" x14ac:dyDescent="0.2">
      <c r="A190" s="1">
        <v>45450</v>
      </c>
      <c r="B190">
        <v>-4371</v>
      </c>
      <c r="C190">
        <v>-5106.4804405587302</v>
      </c>
      <c r="D190">
        <v>-7497</v>
      </c>
      <c r="E190">
        <v>25739.0118901973</v>
      </c>
      <c r="F190">
        <v>-37884</v>
      </c>
      <c r="G190">
        <v>-2912.0000000002301</v>
      </c>
      <c r="H190">
        <v>-8951.9599259999995</v>
      </c>
      <c r="I190">
        <v>10348</v>
      </c>
      <c r="J190">
        <v>-19964</v>
      </c>
      <c r="L190">
        <v>6965.5654547430504</v>
      </c>
      <c r="M190">
        <v>16477.999999999902</v>
      </c>
      <c r="N190">
        <v>0</v>
      </c>
      <c r="O190">
        <v>-22815.999999999702</v>
      </c>
      <c r="P190">
        <v>6077.1906325467198</v>
      </c>
      <c r="Q190">
        <v>-15840</v>
      </c>
      <c r="R190">
        <v>-14453.0896268872</v>
      </c>
      <c r="T190">
        <v>-5103</v>
      </c>
      <c r="U190">
        <v>-1978.40769873366</v>
      </c>
      <c r="V190">
        <v>-9450</v>
      </c>
      <c r="W190">
        <v>-1644</v>
      </c>
      <c r="X190">
        <v>-3528.9477828205399</v>
      </c>
      <c r="Y190">
        <v>-2065</v>
      </c>
      <c r="Z190">
        <v>1095</v>
      </c>
      <c r="AA190">
        <v>-8540.99999999996</v>
      </c>
      <c r="AC190">
        <v>3000</v>
      </c>
      <c r="AD190">
        <v>0</v>
      </c>
      <c r="AE190">
        <v>-15990</v>
      </c>
      <c r="AF190">
        <v>-5131.6768961872503</v>
      </c>
      <c r="AG190">
        <v>3244</v>
      </c>
      <c r="AH190">
        <v>-742</v>
      </c>
      <c r="AI190">
        <v>-6631.57439135187</v>
      </c>
      <c r="AK190">
        <v>2484.8208</v>
      </c>
      <c r="AL190">
        <v>1560.4875112133</v>
      </c>
      <c r="AM190">
        <v>18116.2872443491</v>
      </c>
      <c r="AN190">
        <v>17847.524128535999</v>
      </c>
      <c r="AP190">
        <v>-34401.418568583103</v>
      </c>
      <c r="AQ190">
        <v>-23722.3100170219</v>
      </c>
      <c r="AR190">
        <v>-38376</v>
      </c>
      <c r="AS190">
        <v>-7983</v>
      </c>
      <c r="AT190">
        <v>-3657</v>
      </c>
      <c r="AU190">
        <v>-5417.4586161028301</v>
      </c>
      <c r="AV190">
        <v>-959.34127409504003</v>
      </c>
      <c r="AW190">
        <v>-11072</v>
      </c>
      <c r="AX190">
        <v>-4104</v>
      </c>
      <c r="AY190">
        <v>0</v>
      </c>
      <c r="AZ190">
        <v>2116.1877761026299</v>
      </c>
      <c r="BA190">
        <v>19172.034180000301</v>
      </c>
      <c r="BB190">
        <v>-5553.9001812131901</v>
      </c>
      <c r="BC190">
        <v>-3191.7470335797598</v>
      </c>
      <c r="BE190">
        <f t="shared" si="4"/>
        <v>-204795.20283544666</v>
      </c>
      <c r="BF190">
        <f t="shared" si="5"/>
        <v>45991227.436530627</v>
      </c>
    </row>
    <row r="191" spans="1:58" x14ac:dyDescent="0.2">
      <c r="A191" s="1">
        <v>45453</v>
      </c>
      <c r="B191">
        <v>2664</v>
      </c>
      <c r="C191">
        <v>5915</v>
      </c>
      <c r="D191">
        <v>7781.47847637003</v>
      </c>
      <c r="E191">
        <v>-9118</v>
      </c>
      <c r="F191">
        <v>21054.471053213801</v>
      </c>
      <c r="G191">
        <v>19343.999999999902</v>
      </c>
      <c r="H191">
        <v>-3607.563596</v>
      </c>
      <c r="I191">
        <v>31420.2236470221</v>
      </c>
      <c r="J191">
        <v>16100</v>
      </c>
      <c r="L191">
        <v>22626.074425057199</v>
      </c>
      <c r="M191">
        <v>3388.00000000002</v>
      </c>
      <c r="N191">
        <v>-30.927449395060599</v>
      </c>
      <c r="O191">
        <v>24104</v>
      </c>
      <c r="P191">
        <v>1470</v>
      </c>
      <c r="Q191">
        <v>-1482.7633809885101</v>
      </c>
      <c r="R191">
        <v>-3924.0009455415002</v>
      </c>
      <c r="T191">
        <v>-3290</v>
      </c>
      <c r="U191">
        <v>3740</v>
      </c>
      <c r="V191">
        <v>12650</v>
      </c>
      <c r="W191">
        <v>-1032</v>
      </c>
      <c r="X191">
        <v>-1381.9473429623699</v>
      </c>
      <c r="Y191">
        <v>2960</v>
      </c>
      <c r="Z191">
        <v>-5256</v>
      </c>
      <c r="AA191">
        <v>11663.9999999999</v>
      </c>
      <c r="AC191">
        <v>27000</v>
      </c>
      <c r="AD191">
        <v>-2066.57499156736</v>
      </c>
      <c r="AE191">
        <v>14040</v>
      </c>
      <c r="AF191">
        <v>8234</v>
      </c>
      <c r="AG191">
        <v>7598</v>
      </c>
      <c r="AH191">
        <v>603.22774683941202</v>
      </c>
      <c r="AI191">
        <v>54820.281663094</v>
      </c>
      <c r="AK191">
        <v>-2485.2968000000001</v>
      </c>
      <c r="AL191">
        <v>139.99269106191801</v>
      </c>
      <c r="AM191">
        <v>-6292</v>
      </c>
      <c r="AN191">
        <v>-5500</v>
      </c>
      <c r="AP191">
        <v>-6733.32673617411</v>
      </c>
      <c r="AQ191">
        <v>10292.934231019</v>
      </c>
      <c r="AR191">
        <v>25679.318691612902</v>
      </c>
      <c r="AS191">
        <v>3528</v>
      </c>
      <c r="AT191">
        <v>5203.7610269559</v>
      </c>
      <c r="AU191">
        <v>4659.6901641816603</v>
      </c>
      <c r="AV191">
        <v>-2546.7936561712499</v>
      </c>
      <c r="AW191">
        <v>5655.1006019830602</v>
      </c>
      <c r="AX191">
        <v>16362</v>
      </c>
      <c r="AY191">
        <v>0</v>
      </c>
      <c r="AZ191">
        <v>1696.5710999999701</v>
      </c>
      <c r="BA191">
        <v>-8448.5114999998896</v>
      </c>
      <c r="BB191">
        <v>7760</v>
      </c>
      <c r="BC191">
        <v>4757.1246259766503</v>
      </c>
      <c r="BE191">
        <f t="shared" si="4"/>
        <v>321715.54374558735</v>
      </c>
      <c r="BF191">
        <f t="shared" si="5"/>
        <v>46312942.980276212</v>
      </c>
    </row>
    <row r="192" spans="1:58" x14ac:dyDescent="0.2">
      <c r="A192" s="1">
        <v>45454</v>
      </c>
      <c r="B192">
        <v>-1359</v>
      </c>
      <c r="C192">
        <v>-11412.907998627899</v>
      </c>
      <c r="D192">
        <v>1023</v>
      </c>
      <c r="E192">
        <v>-78.990758124366295</v>
      </c>
      <c r="F192">
        <v>9144.5195224067993</v>
      </c>
      <c r="G192">
        <v>-14351.9999999998</v>
      </c>
      <c r="H192">
        <v>-9502.8504479999992</v>
      </c>
      <c r="I192">
        <v>-12933</v>
      </c>
      <c r="J192">
        <v>11592</v>
      </c>
      <c r="L192">
        <v>3572.5467482444801</v>
      </c>
      <c r="M192">
        <v>-4608.99999999996</v>
      </c>
      <c r="N192">
        <v>-355.04239999999999</v>
      </c>
      <c r="O192">
        <v>-184.00000000022399</v>
      </c>
      <c r="P192">
        <v>14798</v>
      </c>
      <c r="Q192">
        <v>1711.8026563952701</v>
      </c>
      <c r="R192">
        <v>4085.4057508302799</v>
      </c>
      <c r="T192">
        <v>-1491</v>
      </c>
      <c r="U192">
        <v>2337.5683888113299</v>
      </c>
      <c r="V192">
        <v>-300</v>
      </c>
      <c r="W192">
        <v>2988</v>
      </c>
      <c r="X192">
        <v>12821.983820130599</v>
      </c>
      <c r="Y192">
        <v>2400</v>
      </c>
      <c r="Z192">
        <v>1314</v>
      </c>
      <c r="AA192">
        <v>-818.99999999994998</v>
      </c>
      <c r="AC192">
        <v>-54552</v>
      </c>
      <c r="AD192">
        <v>0</v>
      </c>
      <c r="AE192">
        <v>14430</v>
      </c>
      <c r="AF192">
        <v>322</v>
      </c>
      <c r="AG192">
        <v>-1048</v>
      </c>
      <c r="AH192">
        <v>164</v>
      </c>
      <c r="AI192">
        <v>-12961.8596555406</v>
      </c>
      <c r="AK192">
        <v>-1686.4513999999999</v>
      </c>
      <c r="AL192">
        <v>-1112.5226125751201</v>
      </c>
      <c r="AM192">
        <v>-494</v>
      </c>
      <c r="AN192">
        <v>-990</v>
      </c>
      <c r="AP192">
        <v>2036.6259358183299</v>
      </c>
      <c r="AQ192">
        <v>-3939.34690238749</v>
      </c>
      <c r="AR192">
        <v>13236.7171369115</v>
      </c>
      <c r="AS192">
        <v>4662</v>
      </c>
      <c r="AT192">
        <v>1200</v>
      </c>
      <c r="AU192">
        <v>690</v>
      </c>
      <c r="AV192">
        <v>-912.87059261657703</v>
      </c>
      <c r="AW192">
        <v>1368</v>
      </c>
      <c r="AX192">
        <v>-16200</v>
      </c>
      <c r="AY192">
        <v>0</v>
      </c>
      <c r="AZ192">
        <v>-948.08385000000601</v>
      </c>
      <c r="BA192">
        <v>4891.2434999999696</v>
      </c>
      <c r="BB192">
        <v>5586.8437276795203</v>
      </c>
      <c r="BC192">
        <v>-3652</v>
      </c>
      <c r="BE192">
        <f t="shared" si="4"/>
        <v>-39517.669430643909</v>
      </c>
      <c r="BF192">
        <f t="shared" si="5"/>
        <v>46273425.310845569</v>
      </c>
    </row>
    <row r="193" spans="1:58" x14ac:dyDescent="0.2">
      <c r="A193" s="1">
        <v>45455</v>
      </c>
      <c r="B193">
        <v>0</v>
      </c>
      <c r="C193">
        <v>0</v>
      </c>
      <c r="D193">
        <v>0</v>
      </c>
      <c r="E193">
        <v>-19.7205120979946</v>
      </c>
      <c r="F193">
        <v>0</v>
      </c>
      <c r="G193">
        <v>0</v>
      </c>
      <c r="H193">
        <v>-147.48289447017399</v>
      </c>
      <c r="I193">
        <v>0</v>
      </c>
      <c r="J193">
        <v>0</v>
      </c>
      <c r="L193">
        <v>-4.89857971478013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-17.297124584856</v>
      </c>
      <c r="T193">
        <v>0</v>
      </c>
      <c r="U193">
        <v>-4.8612731785265098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-151.85850488447599</v>
      </c>
      <c r="AD193">
        <v>0</v>
      </c>
      <c r="AE193">
        <v>0</v>
      </c>
      <c r="AF193">
        <v>-15.797217402271</v>
      </c>
      <c r="AG193">
        <v>-122.12178077137401</v>
      </c>
      <c r="AH193">
        <v>0</v>
      </c>
      <c r="AI193">
        <v>-9.9053632396622007</v>
      </c>
      <c r="AK193">
        <v>-13.2800518314667</v>
      </c>
      <c r="AL193">
        <v>-3.4762583073845099</v>
      </c>
      <c r="AM193">
        <v>0</v>
      </c>
      <c r="AN193">
        <v>0</v>
      </c>
      <c r="AP193">
        <v>-5.0915604523073297</v>
      </c>
      <c r="AQ193">
        <v>-9.5122345558865895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-153.58133821874401</v>
      </c>
      <c r="BB193">
        <v>-26.208601803158199</v>
      </c>
      <c r="BC193">
        <v>-8.9628123593031308</v>
      </c>
      <c r="BE193">
        <f t="shared" si="4"/>
        <v>-714.05610787236492</v>
      </c>
      <c r="BF193">
        <f t="shared" si="5"/>
        <v>46272711.254737698</v>
      </c>
    </row>
    <row r="194" spans="1:58" x14ac:dyDescent="0.2">
      <c r="A194" s="1">
        <v>45456</v>
      </c>
      <c r="B194">
        <v>-66</v>
      </c>
      <c r="C194">
        <v>12152</v>
      </c>
      <c r="D194">
        <v>-3751</v>
      </c>
      <c r="E194">
        <v>2168.4317442093202</v>
      </c>
      <c r="F194">
        <v>-1212</v>
      </c>
      <c r="G194">
        <v>16847.9999999998</v>
      </c>
      <c r="H194">
        <v>-4688.3437269999904</v>
      </c>
      <c r="I194">
        <v>32670</v>
      </c>
      <c r="J194">
        <v>-4094</v>
      </c>
      <c r="L194">
        <v>-10150</v>
      </c>
      <c r="M194">
        <v>9030.99999999994</v>
      </c>
      <c r="N194">
        <v>1157.2782</v>
      </c>
      <c r="O194">
        <v>-143335.99999999901</v>
      </c>
      <c r="P194">
        <v>-4704</v>
      </c>
      <c r="Q194">
        <v>8391.8264428408602</v>
      </c>
      <c r="R194">
        <v>5352.6936151361097</v>
      </c>
      <c r="T194">
        <v>833</v>
      </c>
      <c r="U194">
        <v>1288</v>
      </c>
      <c r="V194">
        <v>2100</v>
      </c>
      <c r="W194">
        <v>-8904</v>
      </c>
      <c r="X194">
        <v>-7146</v>
      </c>
      <c r="Y194">
        <v>-2110</v>
      </c>
      <c r="Z194">
        <v>-4599</v>
      </c>
      <c r="AA194">
        <v>1970.99999999996</v>
      </c>
      <c r="AC194">
        <v>13077</v>
      </c>
      <c r="AD194">
        <v>0</v>
      </c>
      <c r="AE194">
        <v>-11310</v>
      </c>
      <c r="AF194">
        <v>-7992</v>
      </c>
      <c r="AG194">
        <v>2946</v>
      </c>
      <c r="AH194">
        <v>44</v>
      </c>
      <c r="AI194">
        <v>13820.6994938516</v>
      </c>
      <c r="AK194">
        <v>66.766050000000007</v>
      </c>
      <c r="AL194">
        <v>-4123.5048327554996</v>
      </c>
      <c r="AM194">
        <v>-78</v>
      </c>
      <c r="AN194">
        <v>-1078</v>
      </c>
      <c r="AP194">
        <v>-4803.3743978914699</v>
      </c>
      <c r="AQ194">
        <v>-7800</v>
      </c>
      <c r="AR194">
        <v>-6262</v>
      </c>
      <c r="AS194">
        <v>-792</v>
      </c>
      <c r="AT194">
        <v>-750</v>
      </c>
      <c r="AU194">
        <v>-575</v>
      </c>
      <c r="AV194">
        <v>0</v>
      </c>
      <c r="AW194">
        <v>-912</v>
      </c>
      <c r="AX194">
        <v>13068</v>
      </c>
      <c r="AY194">
        <v>0</v>
      </c>
      <c r="AZ194">
        <v>0</v>
      </c>
      <c r="BA194">
        <v>-7891.6291600000704</v>
      </c>
      <c r="BB194">
        <v>-2119.26438676621</v>
      </c>
      <c r="BC194">
        <v>1200</v>
      </c>
      <c r="BE194">
        <f t="shared" si="4"/>
        <v>-113061.42095837466</v>
      </c>
      <c r="BF194">
        <f t="shared" si="5"/>
        <v>46159649.83377932</v>
      </c>
    </row>
    <row r="195" spans="1:58" x14ac:dyDescent="0.2">
      <c r="A195" s="1">
        <v>45457</v>
      </c>
      <c r="B195">
        <v>429</v>
      </c>
      <c r="C195">
        <v>-4998</v>
      </c>
      <c r="D195">
        <v>-5797</v>
      </c>
      <c r="E195">
        <v>-81.505515940104004</v>
      </c>
      <c r="F195">
        <v>-24341</v>
      </c>
      <c r="G195">
        <v>7072.0000000001401</v>
      </c>
      <c r="H195">
        <v>-19915.076744961902</v>
      </c>
      <c r="I195">
        <v>-6480</v>
      </c>
      <c r="J195">
        <v>-19228</v>
      </c>
      <c r="L195">
        <v>-9918</v>
      </c>
      <c r="M195">
        <v>-5272.7651189076796</v>
      </c>
      <c r="N195">
        <v>-2131.93814889134</v>
      </c>
      <c r="O195">
        <v>-36083.134493761703</v>
      </c>
      <c r="P195">
        <v>-13622</v>
      </c>
      <c r="Q195">
        <v>-2050</v>
      </c>
      <c r="R195">
        <v>-9554.8617305656808</v>
      </c>
      <c r="T195">
        <v>-7749</v>
      </c>
      <c r="U195">
        <v>-4692</v>
      </c>
      <c r="V195">
        <v>-9900</v>
      </c>
      <c r="W195">
        <v>14989.9861982937</v>
      </c>
      <c r="X195">
        <v>-111.87572830408899</v>
      </c>
      <c r="Y195">
        <v>385</v>
      </c>
      <c r="Z195">
        <v>219</v>
      </c>
      <c r="AA195">
        <v>-8432.99999999998</v>
      </c>
      <c r="AC195">
        <v>-22743</v>
      </c>
      <c r="AD195">
        <v>0</v>
      </c>
      <c r="AE195">
        <v>-14560</v>
      </c>
      <c r="AF195">
        <v>432</v>
      </c>
      <c r="AG195">
        <v>-8034</v>
      </c>
      <c r="AH195">
        <v>140</v>
      </c>
      <c r="AI195">
        <v>-1673</v>
      </c>
      <c r="AK195">
        <v>2537.1098999999999</v>
      </c>
      <c r="AL195">
        <v>-1886</v>
      </c>
      <c r="AM195">
        <v>4810</v>
      </c>
      <c r="AN195">
        <v>5280</v>
      </c>
      <c r="AP195">
        <v>-2271.1862743500001</v>
      </c>
      <c r="AQ195">
        <v>3776.84432051369</v>
      </c>
      <c r="AR195">
        <v>-4040</v>
      </c>
      <c r="AS195">
        <v>-3915</v>
      </c>
      <c r="AT195">
        <v>-300</v>
      </c>
      <c r="AU195">
        <v>736</v>
      </c>
      <c r="AV195">
        <v>0</v>
      </c>
      <c r="AW195">
        <v>-1368</v>
      </c>
      <c r="AX195">
        <v>-5400</v>
      </c>
      <c r="AY195">
        <v>0</v>
      </c>
      <c r="AZ195">
        <v>-2233.2262499999702</v>
      </c>
      <c r="BA195">
        <v>27852.808799999701</v>
      </c>
      <c r="BB195">
        <v>-4188.2551639644698</v>
      </c>
      <c r="BC195">
        <v>-1928.9195719844099</v>
      </c>
      <c r="BE195">
        <f t="shared" ref="BE195:BE258" si="6">SUM(B195:BD195)</f>
        <v>-196239.99552282412</v>
      </c>
      <c r="BF195">
        <f t="shared" ref="BF195:BF258" si="7">BF194+BE195</f>
        <v>45963409.838256493</v>
      </c>
    </row>
    <row r="196" spans="1:58" x14ac:dyDescent="0.2">
      <c r="A196" s="1">
        <v>45460</v>
      </c>
      <c r="B196">
        <v>570</v>
      </c>
      <c r="C196">
        <v>21952</v>
      </c>
      <c r="D196">
        <v>3304.5993599321801</v>
      </c>
      <c r="E196">
        <v>4736</v>
      </c>
      <c r="F196">
        <v>-8509.5770834124105</v>
      </c>
      <c r="G196">
        <v>45135.999999999702</v>
      </c>
      <c r="H196">
        <v>1673.5257931707899</v>
      </c>
      <c r="I196">
        <v>43632</v>
      </c>
      <c r="J196">
        <v>3535.1911357640101</v>
      </c>
      <c r="K196">
        <v>0</v>
      </c>
      <c r="L196">
        <v>-3132</v>
      </c>
      <c r="M196">
        <v>15865.199999999901</v>
      </c>
      <c r="N196">
        <v>1175.6685599999801</v>
      </c>
      <c r="O196">
        <v>5122.0228656446197</v>
      </c>
      <c r="P196">
        <v>-9922.9917766353192</v>
      </c>
      <c r="Q196">
        <v>6150</v>
      </c>
      <c r="R196">
        <v>2212.4943540842801</v>
      </c>
      <c r="S196">
        <v>0</v>
      </c>
      <c r="T196">
        <v>7889</v>
      </c>
      <c r="U196">
        <v>1035</v>
      </c>
      <c r="V196">
        <v>7250</v>
      </c>
      <c r="W196">
        <v>-2768</v>
      </c>
      <c r="X196">
        <v>5287</v>
      </c>
      <c r="Y196">
        <v>530</v>
      </c>
      <c r="Z196">
        <v>6132</v>
      </c>
      <c r="AA196">
        <v>6623.99999999995</v>
      </c>
      <c r="AC196">
        <v>10362.9376075118</v>
      </c>
      <c r="AD196">
        <v>0</v>
      </c>
      <c r="AE196">
        <v>28564.665658480601</v>
      </c>
      <c r="AF196">
        <v>-1377</v>
      </c>
      <c r="AG196">
        <v>4248</v>
      </c>
      <c r="AH196">
        <v>52</v>
      </c>
      <c r="AI196">
        <v>39435</v>
      </c>
      <c r="AJ196">
        <v>0</v>
      </c>
      <c r="AK196">
        <v>3005.97075</v>
      </c>
      <c r="AL196">
        <v>2337</v>
      </c>
      <c r="AM196">
        <v>-6162</v>
      </c>
      <c r="AN196">
        <v>-6292</v>
      </c>
      <c r="AP196">
        <v>2033.2504203014701</v>
      </c>
      <c r="AQ196">
        <v>1238.8186301138401</v>
      </c>
      <c r="AR196">
        <v>20604</v>
      </c>
      <c r="AS196">
        <v>3501</v>
      </c>
      <c r="AT196">
        <v>4800</v>
      </c>
      <c r="AU196">
        <v>2580.8525632476099</v>
      </c>
      <c r="AV196">
        <v>0</v>
      </c>
      <c r="AW196">
        <v>6840</v>
      </c>
      <c r="AX196">
        <v>72225</v>
      </c>
      <c r="AY196">
        <v>0</v>
      </c>
      <c r="AZ196">
        <v>0</v>
      </c>
      <c r="BA196">
        <v>29728.24064</v>
      </c>
      <c r="BB196">
        <v>11844</v>
      </c>
      <c r="BC196">
        <v>4833.17940159114</v>
      </c>
      <c r="BE196">
        <f t="shared" si="6"/>
        <v>399882.04887979408</v>
      </c>
      <c r="BF196">
        <f t="shared" si="7"/>
        <v>46363291.887136288</v>
      </c>
    </row>
    <row r="197" spans="1:58" x14ac:dyDescent="0.2">
      <c r="A197" s="1">
        <v>45461</v>
      </c>
      <c r="B197">
        <v>4893</v>
      </c>
      <c r="C197">
        <v>7938</v>
      </c>
      <c r="D197">
        <v>8160</v>
      </c>
      <c r="E197">
        <v>-10286</v>
      </c>
      <c r="F197">
        <v>22865.086674533301</v>
      </c>
      <c r="G197">
        <v>99008.000000000102</v>
      </c>
      <c r="H197">
        <v>1880.2936345415801</v>
      </c>
      <c r="I197">
        <v>34344</v>
      </c>
      <c r="J197">
        <v>6468</v>
      </c>
      <c r="K197">
        <v>0</v>
      </c>
      <c r="L197">
        <v>20126</v>
      </c>
      <c r="M197">
        <v>6145.93448298557</v>
      </c>
      <c r="N197">
        <v>-4043.5873199999601</v>
      </c>
      <c r="O197">
        <v>34715.220690119699</v>
      </c>
      <c r="P197">
        <v>12601.2558127147</v>
      </c>
      <c r="Q197">
        <v>-13940</v>
      </c>
      <c r="R197">
        <v>13398</v>
      </c>
      <c r="S197">
        <v>0</v>
      </c>
      <c r="T197">
        <v>3906</v>
      </c>
      <c r="U197">
        <v>230</v>
      </c>
      <c r="V197">
        <v>12800</v>
      </c>
      <c r="W197">
        <v>-7022.9458203206595</v>
      </c>
      <c r="X197">
        <v>13600</v>
      </c>
      <c r="Y197">
        <v>2745</v>
      </c>
      <c r="Z197">
        <v>8322</v>
      </c>
      <c r="AA197">
        <v>11367</v>
      </c>
      <c r="AC197">
        <v>25504</v>
      </c>
      <c r="AD197">
        <v>0</v>
      </c>
      <c r="AE197">
        <v>2539.9133472347398</v>
      </c>
      <c r="AF197">
        <v>4536</v>
      </c>
      <c r="AG197">
        <v>9546</v>
      </c>
      <c r="AH197">
        <v>-423.40388299615302</v>
      </c>
      <c r="AI197">
        <v>-2189.6755384283701</v>
      </c>
      <c r="AJ197">
        <v>0</v>
      </c>
      <c r="AK197">
        <v>200.39804999999899</v>
      </c>
      <c r="AL197">
        <v>8118</v>
      </c>
      <c r="AM197">
        <v>-9776</v>
      </c>
      <c r="AN197">
        <v>-7546</v>
      </c>
      <c r="AP197">
        <v>11745</v>
      </c>
      <c r="AQ197">
        <v>8145</v>
      </c>
      <c r="AR197">
        <v>14746</v>
      </c>
      <c r="AS197">
        <v>9021.4904558234994</v>
      </c>
      <c r="AT197">
        <v>8235.7796999155598</v>
      </c>
      <c r="AU197">
        <v>-673.30400769414598</v>
      </c>
      <c r="AV197">
        <v>0</v>
      </c>
      <c r="AW197">
        <v>6536</v>
      </c>
      <c r="AX197">
        <v>46595.923551785301</v>
      </c>
      <c r="AY197">
        <v>0</v>
      </c>
      <c r="AZ197">
        <v>-3843.3472000000202</v>
      </c>
      <c r="BA197">
        <v>-11612.593999999999</v>
      </c>
      <c r="BB197">
        <v>17182.284980609998</v>
      </c>
      <c r="BC197">
        <v>7100</v>
      </c>
      <c r="BE197">
        <f t="shared" si="6"/>
        <v>433907.72361082473</v>
      </c>
      <c r="BF197">
        <f t="shared" si="7"/>
        <v>46797199.610747114</v>
      </c>
    </row>
    <row r="198" spans="1:58" x14ac:dyDescent="0.2">
      <c r="A198" s="1">
        <v>45462</v>
      </c>
      <c r="B198">
        <v>1176.26832278387</v>
      </c>
      <c r="C198">
        <v>20286</v>
      </c>
      <c r="D198">
        <v>3713.2666024950099</v>
      </c>
      <c r="E198">
        <v>-2366.6543259356499</v>
      </c>
      <c r="F198">
        <v>-7231.6060626342296</v>
      </c>
      <c r="G198">
        <v>49014.578770988199</v>
      </c>
      <c r="H198">
        <v>1362.177768</v>
      </c>
      <c r="I198">
        <v>123633</v>
      </c>
      <c r="J198">
        <v>16720</v>
      </c>
      <c r="K198">
        <v>0</v>
      </c>
      <c r="L198">
        <v>30914</v>
      </c>
      <c r="M198">
        <v>12946.463344904099</v>
      </c>
      <c r="N198">
        <v>445.24949999999899</v>
      </c>
      <c r="O198">
        <v>13813.5225783478</v>
      </c>
      <c r="P198">
        <v>9906</v>
      </c>
      <c r="Q198">
        <v>35243.0190638407</v>
      </c>
      <c r="R198">
        <v>10472</v>
      </c>
      <c r="S198">
        <v>0</v>
      </c>
      <c r="T198">
        <v>17514</v>
      </c>
      <c r="U198">
        <v>3220</v>
      </c>
      <c r="V198">
        <v>16500</v>
      </c>
      <c r="W198">
        <v>-26.6748306402407</v>
      </c>
      <c r="X198">
        <v>13855</v>
      </c>
      <c r="Y198">
        <v>2009.6625926152601</v>
      </c>
      <c r="Z198">
        <v>4512.19905633493</v>
      </c>
      <c r="AA198">
        <v>15092.9999999999</v>
      </c>
      <c r="AC198">
        <v>4264</v>
      </c>
      <c r="AD198">
        <v>21626</v>
      </c>
      <c r="AE198">
        <v>39546</v>
      </c>
      <c r="AF198">
        <v>-1566</v>
      </c>
      <c r="AG198">
        <v>18198</v>
      </c>
      <c r="AH198">
        <v>-161</v>
      </c>
      <c r="AI198">
        <v>11445.140887321</v>
      </c>
      <c r="AJ198">
        <v>0</v>
      </c>
      <c r="AK198">
        <v>2537.9221499999999</v>
      </c>
      <c r="AL198">
        <v>-1107</v>
      </c>
      <c r="AM198">
        <v>-16891.8122225144</v>
      </c>
      <c r="AN198">
        <v>-16297.196228839301</v>
      </c>
      <c r="AP198">
        <v>-2916</v>
      </c>
      <c r="AQ198">
        <v>7920</v>
      </c>
      <c r="AR198">
        <v>19796</v>
      </c>
      <c r="AS198">
        <v>12036.206783809799</v>
      </c>
      <c r="AT198">
        <v>6478.81933354987</v>
      </c>
      <c r="AU198">
        <v>-2622.37433800895</v>
      </c>
      <c r="AV198">
        <v>0</v>
      </c>
      <c r="AW198">
        <v>15200</v>
      </c>
      <c r="AX198">
        <v>85090.513884527798</v>
      </c>
      <c r="AY198">
        <v>82761.874199999904</v>
      </c>
      <c r="AZ198">
        <v>1256.18073185141</v>
      </c>
      <c r="BA198">
        <v>-20175.380040000098</v>
      </c>
      <c r="BB198">
        <v>26496.6470593862</v>
      </c>
      <c r="BC198">
        <v>11431</v>
      </c>
      <c r="BE198">
        <f t="shared" si="6"/>
        <v>697072.01458218275</v>
      </c>
      <c r="BF198">
        <f t="shared" si="7"/>
        <v>47494271.625329293</v>
      </c>
    </row>
    <row r="199" spans="1:58" x14ac:dyDescent="0.2">
      <c r="A199" s="1">
        <v>45463</v>
      </c>
      <c r="B199">
        <v>-2889.84774137353</v>
      </c>
      <c r="C199">
        <v>-26558</v>
      </c>
      <c r="D199">
        <v>-144.905822861865</v>
      </c>
      <c r="E199">
        <v>7221.3458812852004</v>
      </c>
      <c r="F199">
        <v>-39486.844204855901</v>
      </c>
      <c r="G199">
        <v>-86366.648704768406</v>
      </c>
      <c r="H199">
        <v>1141.9846560000001</v>
      </c>
      <c r="I199">
        <v>-117343.62119569699</v>
      </c>
      <c r="J199">
        <v>-26312</v>
      </c>
      <c r="K199">
        <v>-18.071419836880398</v>
      </c>
      <c r="L199">
        <v>-15718</v>
      </c>
      <c r="M199">
        <v>-32830.8796314067</v>
      </c>
      <c r="N199">
        <v>-5396.1947999999902</v>
      </c>
      <c r="O199">
        <v>0</v>
      </c>
      <c r="P199">
        <v>-34320</v>
      </c>
      <c r="Q199">
        <v>-26554.726164957199</v>
      </c>
      <c r="R199">
        <v>-9702</v>
      </c>
      <c r="S199">
        <v>0</v>
      </c>
      <c r="T199">
        <v>-17514</v>
      </c>
      <c r="U199">
        <v>-922.44755429777399</v>
      </c>
      <c r="V199">
        <v>-24550</v>
      </c>
      <c r="W199">
        <v>310.056843667556</v>
      </c>
      <c r="X199">
        <v>-13532</v>
      </c>
      <c r="Y199">
        <v>-2962.76058584046</v>
      </c>
      <c r="Z199">
        <v>-8881.3928455428395</v>
      </c>
      <c r="AA199">
        <v>-21131.999999999902</v>
      </c>
      <c r="AC199">
        <v>-19824</v>
      </c>
      <c r="AD199">
        <v>-23404.677590718598</v>
      </c>
      <c r="AE199">
        <v>-47223.973870990398</v>
      </c>
      <c r="AF199">
        <v>-13149</v>
      </c>
      <c r="AG199">
        <v>-17754</v>
      </c>
      <c r="AH199">
        <v>477.25005639195598</v>
      </c>
      <c r="AI199">
        <v>15960</v>
      </c>
      <c r="AJ199">
        <v>0</v>
      </c>
      <c r="AK199">
        <v>-2180.8479631650498</v>
      </c>
      <c r="AL199">
        <v>-5321.9532795231698</v>
      </c>
      <c r="AM199">
        <v>6628.9848181799798</v>
      </c>
      <c r="AN199">
        <v>7349.7688035208203</v>
      </c>
      <c r="AP199">
        <v>-10044</v>
      </c>
      <c r="AQ199">
        <v>-6705</v>
      </c>
      <c r="AR199">
        <v>-15756</v>
      </c>
      <c r="AS199">
        <v>-16502.1764426999</v>
      </c>
      <c r="AT199">
        <v>-7065.4155067331803</v>
      </c>
      <c r="AU199">
        <v>-2025</v>
      </c>
      <c r="AV199">
        <v>-6643</v>
      </c>
      <c r="AW199">
        <v>-7773.0918639445699</v>
      </c>
      <c r="AX199">
        <v>-88051.269247305696</v>
      </c>
      <c r="AY199">
        <v>-32601.453604517599</v>
      </c>
      <c r="AZ199">
        <v>3994.4260799999902</v>
      </c>
      <c r="BA199">
        <v>44583.020749999901</v>
      </c>
      <c r="BB199">
        <v>-17372</v>
      </c>
      <c r="BC199">
        <v>-5680</v>
      </c>
      <c r="BE199">
        <f t="shared" si="6"/>
        <v>-770546.36215199123</v>
      </c>
      <c r="BF199">
        <f t="shared" si="7"/>
        <v>46723725.263177305</v>
      </c>
    </row>
    <row r="200" spans="1:58" x14ac:dyDescent="0.2">
      <c r="A200" s="1">
        <v>45464</v>
      </c>
      <c r="B200">
        <v>1995</v>
      </c>
      <c r="C200">
        <v>4110.3589565480697</v>
      </c>
      <c r="D200">
        <v>-4767.6479166639101</v>
      </c>
      <c r="E200">
        <v>-1600</v>
      </c>
      <c r="F200">
        <v>4060.1460528630801</v>
      </c>
      <c r="G200">
        <v>23199.670999972201</v>
      </c>
      <c r="H200">
        <v>-4210.4595639999998</v>
      </c>
      <c r="I200">
        <v>-4.1238688240011498</v>
      </c>
      <c r="J200">
        <v>8954.8579000851096</v>
      </c>
      <c r="K200">
        <v>131</v>
      </c>
      <c r="L200">
        <v>4640</v>
      </c>
      <c r="M200">
        <v>-609.49423968554504</v>
      </c>
      <c r="N200">
        <v>3309.3738886924698</v>
      </c>
      <c r="O200">
        <v>-4895.99999999997</v>
      </c>
      <c r="P200">
        <v>10710.966485078199</v>
      </c>
      <c r="Q200">
        <v>14997.533093161501</v>
      </c>
      <c r="R200">
        <v>4158</v>
      </c>
      <c r="S200">
        <v>-18.634707477795001</v>
      </c>
      <c r="T200">
        <v>3829</v>
      </c>
      <c r="U200">
        <v>1725.55240376344</v>
      </c>
      <c r="V200">
        <v>2000</v>
      </c>
      <c r="W200">
        <v>0</v>
      </c>
      <c r="X200">
        <v>34</v>
      </c>
      <c r="Y200">
        <v>5160</v>
      </c>
      <c r="Z200">
        <v>4080</v>
      </c>
      <c r="AA200">
        <v>1338.0711058045699</v>
      </c>
      <c r="AC200">
        <v>6788.9480282253598</v>
      </c>
      <c r="AD200">
        <v>-92.673149210927207</v>
      </c>
      <c r="AE200">
        <v>7830.18856071559</v>
      </c>
      <c r="AF200">
        <v>-8066.4228654277003</v>
      </c>
      <c r="AG200">
        <v>-1509</v>
      </c>
      <c r="AH200">
        <v>-6</v>
      </c>
      <c r="AI200">
        <v>-23100</v>
      </c>
      <c r="AJ200">
        <v>0</v>
      </c>
      <c r="AK200">
        <v>-309.85575</v>
      </c>
      <c r="AL200">
        <v>1650</v>
      </c>
      <c r="AM200">
        <v>636.00156301442701</v>
      </c>
      <c r="AN200">
        <v>-246.31589277369</v>
      </c>
      <c r="AP200">
        <v>7925.9778395511303</v>
      </c>
      <c r="AQ200">
        <v>5580</v>
      </c>
      <c r="AR200">
        <v>5050</v>
      </c>
      <c r="AS200">
        <v>5196</v>
      </c>
      <c r="AT200">
        <v>5684</v>
      </c>
      <c r="AU200">
        <v>12879</v>
      </c>
      <c r="AV200">
        <v>0</v>
      </c>
      <c r="AW200">
        <v>4320</v>
      </c>
      <c r="AX200">
        <v>-935.84365486966703</v>
      </c>
      <c r="AY200">
        <v>-3033.15012305357</v>
      </c>
      <c r="AZ200">
        <v>-3145.2329959542099</v>
      </c>
      <c r="BA200">
        <v>18171.122568973999</v>
      </c>
      <c r="BB200">
        <v>15857</v>
      </c>
      <c r="BC200">
        <v>71</v>
      </c>
      <c r="BE200">
        <f t="shared" si="6"/>
        <v>139521.91471850817</v>
      </c>
      <c r="BF200">
        <f t="shared" si="7"/>
        <v>46863247.177895814</v>
      </c>
    </row>
    <row r="201" spans="1:58" x14ac:dyDescent="0.2">
      <c r="A201" s="1">
        <v>45467</v>
      </c>
      <c r="B201">
        <v>2730</v>
      </c>
      <c r="C201">
        <v>-5529</v>
      </c>
      <c r="D201">
        <v>4730</v>
      </c>
      <c r="E201">
        <v>3200</v>
      </c>
      <c r="F201">
        <v>-14822.595485366401</v>
      </c>
      <c r="G201">
        <v>16209.472442227199</v>
      </c>
      <c r="H201">
        <v>9678.6784079999998</v>
      </c>
      <c r="I201">
        <v>16484.039503743399</v>
      </c>
      <c r="J201">
        <v>3116</v>
      </c>
      <c r="K201">
        <v>20.721137036894199</v>
      </c>
      <c r="L201">
        <v>11832</v>
      </c>
      <c r="M201">
        <v>13232.145298182901</v>
      </c>
      <c r="N201">
        <v>809.22739999998396</v>
      </c>
      <c r="O201">
        <v>6695.99999999999</v>
      </c>
      <c r="P201">
        <v>-3287.00311229914</v>
      </c>
      <c r="Q201">
        <v>2030</v>
      </c>
      <c r="R201">
        <v>6930</v>
      </c>
      <c r="S201">
        <v>65.718876237422506</v>
      </c>
      <c r="T201">
        <v>-229.964312367182</v>
      </c>
      <c r="U201">
        <v>4417.6087605094999</v>
      </c>
      <c r="V201">
        <v>4550</v>
      </c>
      <c r="W201">
        <v>-15.4265492770189</v>
      </c>
      <c r="X201">
        <v>8347</v>
      </c>
      <c r="Y201">
        <v>320</v>
      </c>
      <c r="Z201">
        <v>4352</v>
      </c>
      <c r="AA201">
        <v>4181.99999999998</v>
      </c>
      <c r="AC201">
        <v>-35</v>
      </c>
      <c r="AD201">
        <v>5604</v>
      </c>
      <c r="AE201">
        <v>3258.8350363178001</v>
      </c>
      <c r="AF201">
        <v>813.06639853825595</v>
      </c>
      <c r="AG201">
        <v>5784</v>
      </c>
      <c r="AH201">
        <v>33</v>
      </c>
      <c r="AI201">
        <v>4158.1755077746302</v>
      </c>
      <c r="AJ201">
        <v>0</v>
      </c>
      <c r="AK201">
        <v>3188.5318750000001</v>
      </c>
      <c r="AL201">
        <v>700</v>
      </c>
      <c r="AM201">
        <v>2736</v>
      </c>
      <c r="AN201">
        <v>2815.7150992506799</v>
      </c>
      <c r="AP201">
        <v>8288</v>
      </c>
      <c r="AQ201">
        <v>4095</v>
      </c>
      <c r="AR201">
        <v>14140</v>
      </c>
      <c r="AS201">
        <v>4176</v>
      </c>
      <c r="AT201">
        <v>8820</v>
      </c>
      <c r="AU201">
        <v>-1150.09009333579</v>
      </c>
      <c r="AV201">
        <v>0</v>
      </c>
      <c r="AW201">
        <v>7200</v>
      </c>
      <c r="AX201">
        <v>14325.504135953401</v>
      </c>
      <c r="AY201">
        <v>-2504.3225999997198</v>
      </c>
      <c r="AZ201">
        <v>-345.13254999996201</v>
      </c>
      <c r="BA201">
        <v>12170.488000000199</v>
      </c>
      <c r="BB201">
        <v>3838</v>
      </c>
      <c r="BC201">
        <v>639</v>
      </c>
      <c r="BE201">
        <f t="shared" si="6"/>
        <v>202797.39317612705</v>
      </c>
      <c r="BF201">
        <f t="shared" si="7"/>
        <v>47066044.571071938</v>
      </c>
    </row>
    <row r="202" spans="1:58" x14ac:dyDescent="0.2">
      <c r="A202" s="1">
        <v>45468</v>
      </c>
      <c r="B202">
        <v>727.03820497042204</v>
      </c>
      <c r="C202">
        <v>6881.3515568689099</v>
      </c>
      <c r="D202">
        <v>-1898.0752589866299</v>
      </c>
      <c r="E202">
        <v>1450</v>
      </c>
      <c r="F202">
        <v>-44.4091066434151</v>
      </c>
      <c r="G202">
        <v>-10899</v>
      </c>
      <c r="H202">
        <v>-2595.9369239999901</v>
      </c>
      <c r="I202">
        <v>-15660</v>
      </c>
      <c r="J202">
        <v>-4750</v>
      </c>
      <c r="K202">
        <v>-353.97677479512203</v>
      </c>
      <c r="L202">
        <v>-2726</v>
      </c>
      <c r="M202">
        <v>-4433.8999999999596</v>
      </c>
      <c r="N202">
        <v>369.42990000002402</v>
      </c>
      <c r="O202">
        <v>-3744.00000000009</v>
      </c>
      <c r="P202">
        <v>3664.4681979770198</v>
      </c>
      <c r="Q202">
        <v>-870</v>
      </c>
      <c r="R202">
        <v>2464</v>
      </c>
      <c r="S202">
        <v>160.68496054106899</v>
      </c>
      <c r="T202">
        <v>-1422</v>
      </c>
      <c r="U202">
        <v>636.62033277892999</v>
      </c>
      <c r="V202">
        <v>-3500</v>
      </c>
      <c r="W202">
        <v>-483.51579014053198</v>
      </c>
      <c r="X202">
        <v>425</v>
      </c>
      <c r="Y202">
        <v>-1509.4590553613</v>
      </c>
      <c r="Z202">
        <v>7005.9708079489301</v>
      </c>
      <c r="AA202">
        <v>-3110.99999999995</v>
      </c>
      <c r="AC202">
        <v>-700</v>
      </c>
      <c r="AD202">
        <v>180</v>
      </c>
      <c r="AE202">
        <v>4662</v>
      </c>
      <c r="AF202">
        <v>-1237.35660169315</v>
      </c>
      <c r="AG202">
        <v>525</v>
      </c>
      <c r="AH202">
        <v>15</v>
      </c>
      <c r="AI202">
        <v>-16292.905011285</v>
      </c>
      <c r="AJ202">
        <v>-9.8442677420588307</v>
      </c>
      <c r="AK202">
        <v>-2762.3163104393502</v>
      </c>
      <c r="AL202">
        <v>-1250</v>
      </c>
      <c r="AM202">
        <v>4380</v>
      </c>
      <c r="AN202">
        <v>2925</v>
      </c>
      <c r="AP202">
        <v>-6290</v>
      </c>
      <c r="AQ202">
        <v>-4005</v>
      </c>
      <c r="AR202">
        <v>3030</v>
      </c>
      <c r="AS202">
        <v>-780</v>
      </c>
      <c r="AT202">
        <v>7977.9532088324204</v>
      </c>
      <c r="AU202">
        <v>9398.0714440732008</v>
      </c>
      <c r="AV202">
        <v>1168</v>
      </c>
      <c r="AW202">
        <v>-3840</v>
      </c>
      <c r="AX202">
        <v>-10325</v>
      </c>
      <c r="AY202">
        <v>-268.65103542825801</v>
      </c>
      <c r="AZ202">
        <v>147.913949999983</v>
      </c>
      <c r="BA202">
        <v>0</v>
      </c>
      <c r="BB202">
        <v>-4747</v>
      </c>
      <c r="BC202">
        <v>-2698</v>
      </c>
      <c r="BE202">
        <f t="shared" si="6"/>
        <v>-55013.843572523911</v>
      </c>
      <c r="BF202">
        <f t="shared" si="7"/>
        <v>47011030.727499411</v>
      </c>
    </row>
    <row r="203" spans="1:58" x14ac:dyDescent="0.2">
      <c r="A203" s="1">
        <v>45469</v>
      </c>
      <c r="B203">
        <v>-473.95834179490203</v>
      </c>
      <c r="C203">
        <v>5760</v>
      </c>
      <c r="D203">
        <v>470.96699494043003</v>
      </c>
      <c r="E203">
        <v>4302.8954099806197</v>
      </c>
      <c r="F203">
        <v>5577.3882182094903</v>
      </c>
      <c r="G203">
        <v>14107.385221970801</v>
      </c>
      <c r="H203">
        <v>959.57417999999996</v>
      </c>
      <c r="I203">
        <v>13195.768216156601</v>
      </c>
      <c r="J203">
        <v>1858.4953968989601</v>
      </c>
      <c r="K203">
        <v>-378</v>
      </c>
      <c r="L203">
        <v>-16008</v>
      </c>
      <c r="M203">
        <v>11099.8999999999</v>
      </c>
      <c r="N203">
        <v>2053.2655</v>
      </c>
      <c r="O203">
        <v>7992.00000000004</v>
      </c>
      <c r="P203">
        <v>6006.0718744331098</v>
      </c>
      <c r="Q203">
        <v>0</v>
      </c>
      <c r="R203">
        <v>-2926</v>
      </c>
      <c r="S203">
        <v>-224.95030897833001</v>
      </c>
      <c r="T203">
        <v>-4187.0696765918001</v>
      </c>
      <c r="U203">
        <v>-1774.38190564044</v>
      </c>
      <c r="V203">
        <v>-5150</v>
      </c>
      <c r="W203">
        <v>-1096</v>
      </c>
      <c r="X203">
        <v>-5049</v>
      </c>
      <c r="Y203">
        <v>549</v>
      </c>
      <c r="Z203">
        <v>-11730.42427858</v>
      </c>
      <c r="AA203">
        <v>-4547.5</v>
      </c>
      <c r="AC203">
        <v>-4151</v>
      </c>
      <c r="AD203">
        <v>-558</v>
      </c>
      <c r="AE203">
        <v>-2205</v>
      </c>
      <c r="AF203">
        <v>994.48798299489397</v>
      </c>
      <c r="AG203">
        <v>-4566</v>
      </c>
      <c r="AH203">
        <v>-17</v>
      </c>
      <c r="AI203">
        <v>-3614.7788205667998</v>
      </c>
      <c r="AJ203">
        <v>29.9961172824583</v>
      </c>
      <c r="AK203">
        <v>6684.0344999999998</v>
      </c>
      <c r="AL203">
        <v>800</v>
      </c>
      <c r="AM203">
        <v>4200</v>
      </c>
      <c r="AN203">
        <v>3933</v>
      </c>
      <c r="AP203">
        <v>1850</v>
      </c>
      <c r="AQ203">
        <v>3465</v>
      </c>
      <c r="AR203">
        <v>-7685.1849296786404</v>
      </c>
      <c r="AS203">
        <v>-3036</v>
      </c>
      <c r="AT203">
        <v>1412.7591652480201</v>
      </c>
      <c r="AU203">
        <v>-6937.76653528519</v>
      </c>
      <c r="AV203">
        <v>0</v>
      </c>
      <c r="AW203">
        <v>-4320</v>
      </c>
      <c r="AX203">
        <v>8284.35968242341</v>
      </c>
      <c r="AY203">
        <v>-803.45915999991098</v>
      </c>
      <c r="AZ203">
        <v>2052.6155999999901</v>
      </c>
      <c r="BA203">
        <v>21869.200000000001</v>
      </c>
      <c r="BB203">
        <v>-4848</v>
      </c>
      <c r="BC203">
        <v>-2414</v>
      </c>
      <c r="BE203">
        <f t="shared" si="6"/>
        <v>30806.690103422698</v>
      </c>
      <c r="BF203">
        <f t="shared" si="7"/>
        <v>47041837.41760283</v>
      </c>
    </row>
    <row r="204" spans="1:58" x14ac:dyDescent="0.2">
      <c r="A204" s="1">
        <v>45470</v>
      </c>
      <c r="B204">
        <v>1645</v>
      </c>
      <c r="C204">
        <v>1824</v>
      </c>
      <c r="D204">
        <v>1407.0435866898399</v>
      </c>
      <c r="E204">
        <v>1860.41323915204</v>
      </c>
      <c r="F204">
        <v>-2887.5515312779098</v>
      </c>
      <c r="G204">
        <v>-354.00000000001302</v>
      </c>
      <c r="H204">
        <v>987.96373800000003</v>
      </c>
      <c r="I204">
        <v>-1808</v>
      </c>
      <c r="J204">
        <v>444</v>
      </c>
      <c r="K204">
        <v>336</v>
      </c>
      <c r="L204">
        <v>2958</v>
      </c>
      <c r="M204">
        <v>-4100.6000000000304</v>
      </c>
      <c r="N204">
        <v>-2007.3710000000001</v>
      </c>
      <c r="O204">
        <v>-10800</v>
      </c>
      <c r="P204">
        <v>2508</v>
      </c>
      <c r="Q204">
        <v>0</v>
      </c>
      <c r="R204">
        <v>2156</v>
      </c>
      <c r="S204">
        <v>264.45453468392799</v>
      </c>
      <c r="T204">
        <v>-1700</v>
      </c>
      <c r="U204">
        <v>779.541722917019</v>
      </c>
      <c r="V204">
        <v>1023.6936561568</v>
      </c>
      <c r="W204">
        <v>64</v>
      </c>
      <c r="X204">
        <v>4437</v>
      </c>
      <c r="Y204">
        <v>-2948.4754346474401</v>
      </c>
      <c r="Z204">
        <v>3804</v>
      </c>
      <c r="AA204">
        <v>1297.5903028991099</v>
      </c>
      <c r="AC204">
        <v>1407</v>
      </c>
      <c r="AD204">
        <v>-408</v>
      </c>
      <c r="AE204">
        <v>1449</v>
      </c>
      <c r="AF204">
        <v>-44.100713278000804</v>
      </c>
      <c r="AG204">
        <v>-6534</v>
      </c>
      <c r="AH204">
        <v>-13</v>
      </c>
      <c r="AI204">
        <v>4182.1111593056703</v>
      </c>
      <c r="AJ204">
        <v>-9.6207408676098698</v>
      </c>
      <c r="AK204">
        <v>-668.28284542147799</v>
      </c>
      <c r="AL204">
        <v>-850</v>
      </c>
      <c r="AM204">
        <v>5232</v>
      </c>
      <c r="AN204">
        <v>3195</v>
      </c>
      <c r="AP204">
        <v>5846</v>
      </c>
      <c r="AQ204">
        <v>990</v>
      </c>
      <c r="AR204">
        <v>412</v>
      </c>
      <c r="AS204">
        <v>636</v>
      </c>
      <c r="AT204">
        <v>12305.6952630745</v>
      </c>
      <c r="AU204">
        <v>-3175</v>
      </c>
      <c r="AV204">
        <v>6059</v>
      </c>
      <c r="AW204">
        <v>4640</v>
      </c>
      <c r="AX204">
        <v>-174</v>
      </c>
      <c r="AY204">
        <v>-267.21261121271499</v>
      </c>
      <c r="AZ204">
        <v>-879.11910000001103</v>
      </c>
      <c r="BA204">
        <v>-1094.3820000002399</v>
      </c>
      <c r="BB204">
        <v>1919</v>
      </c>
      <c r="BC204">
        <v>-1562</v>
      </c>
      <c r="BE204">
        <f t="shared" si="6"/>
        <v>33784.79122617346</v>
      </c>
      <c r="BF204">
        <f t="shared" si="7"/>
        <v>47075622.208829001</v>
      </c>
    </row>
    <row r="205" spans="1:58" x14ac:dyDescent="0.2">
      <c r="A205" s="1">
        <v>45471</v>
      </c>
      <c r="B205">
        <v>-787.96648626008198</v>
      </c>
      <c r="C205">
        <v>5760</v>
      </c>
      <c r="D205">
        <v>2462.4656975836601</v>
      </c>
      <c r="E205">
        <v>-3033.7136556503501</v>
      </c>
      <c r="F205">
        <v>1079.0002690915401</v>
      </c>
      <c r="G205">
        <v>-11269</v>
      </c>
      <c r="H205">
        <v>639.96907999999996</v>
      </c>
      <c r="I205">
        <v>-7744.1557946727398</v>
      </c>
      <c r="J205">
        <v>-111</v>
      </c>
      <c r="K205">
        <v>153</v>
      </c>
      <c r="L205">
        <v>1566</v>
      </c>
      <c r="M205">
        <v>-4575.2999999999201</v>
      </c>
      <c r="N205">
        <v>-711.23183999999196</v>
      </c>
      <c r="O205">
        <v>14472</v>
      </c>
      <c r="P205">
        <v>264</v>
      </c>
      <c r="Q205">
        <v>1160</v>
      </c>
      <c r="R205">
        <v>2618</v>
      </c>
      <c r="S205">
        <v>138.38733082528901</v>
      </c>
      <c r="T205">
        <v>700</v>
      </c>
      <c r="U205">
        <v>905.08266873877596</v>
      </c>
      <c r="V205">
        <v>-750</v>
      </c>
      <c r="W205">
        <v>-52</v>
      </c>
      <c r="X205">
        <v>901</v>
      </c>
      <c r="Y205">
        <v>3740</v>
      </c>
      <c r="Z205">
        <v>2536</v>
      </c>
      <c r="AA205">
        <v>-1498.9079184306499</v>
      </c>
      <c r="AC205">
        <v>-17724</v>
      </c>
      <c r="AD205">
        <v>-30</v>
      </c>
      <c r="AE205">
        <v>-1701</v>
      </c>
      <c r="AF205">
        <v>69.793164836228101</v>
      </c>
      <c r="AG205">
        <v>1227</v>
      </c>
      <c r="AH205">
        <v>-8</v>
      </c>
      <c r="AI205">
        <v>612</v>
      </c>
      <c r="AJ205">
        <v>-65.349469919430007</v>
      </c>
      <c r="AK205">
        <v>-3687.8687999999902</v>
      </c>
      <c r="AL205">
        <v>900</v>
      </c>
      <c r="AM205">
        <v>-2562.1540670290301</v>
      </c>
      <c r="AN205">
        <v>-1862.65015646033</v>
      </c>
      <c r="AP205">
        <v>-2368</v>
      </c>
      <c r="AQ205">
        <v>2651.7613898158702</v>
      </c>
      <c r="AR205">
        <v>1851.7040429445899</v>
      </c>
      <c r="AS205">
        <v>-14088</v>
      </c>
      <c r="AT205">
        <v>6195.4327776179998</v>
      </c>
      <c r="AU205">
        <v>-1016</v>
      </c>
      <c r="AV205">
        <v>-8245.90695620525</v>
      </c>
      <c r="AW205">
        <v>2069.6521432170798</v>
      </c>
      <c r="AX205">
        <v>-7656</v>
      </c>
      <c r="AY205">
        <v>0</v>
      </c>
      <c r="AZ205">
        <v>2349.07440000001</v>
      </c>
      <c r="BA205">
        <v>5937.3216000002203</v>
      </c>
      <c r="BB205">
        <v>9494</v>
      </c>
      <c r="BC205">
        <v>0</v>
      </c>
      <c r="BE205">
        <f t="shared" si="6"/>
        <v>-19095.560579956495</v>
      </c>
      <c r="BF205">
        <f t="shared" si="7"/>
        <v>47056526.648249045</v>
      </c>
    </row>
    <row r="206" spans="1:58" x14ac:dyDescent="0.2">
      <c r="A206" s="1">
        <v>45474</v>
      </c>
      <c r="B206">
        <v>-432</v>
      </c>
      <c r="C206">
        <v>-10368</v>
      </c>
      <c r="D206">
        <v>3210.9494048935198</v>
      </c>
      <c r="E206">
        <v>-677.89033672169501</v>
      </c>
      <c r="F206">
        <v>110</v>
      </c>
      <c r="G206">
        <v>-9562.6273656007306</v>
      </c>
      <c r="H206">
        <v>1382.579264</v>
      </c>
      <c r="I206">
        <v>-4515</v>
      </c>
      <c r="J206">
        <v>-1184</v>
      </c>
      <c r="K206">
        <v>-603.139645821371</v>
      </c>
      <c r="L206">
        <v>-20184</v>
      </c>
      <c r="M206">
        <v>-4959.1000000000304</v>
      </c>
      <c r="N206">
        <v>-197.22040000001499</v>
      </c>
      <c r="O206">
        <v>-7272.00000000006</v>
      </c>
      <c r="P206">
        <v>-4983</v>
      </c>
      <c r="Q206">
        <v>-2610</v>
      </c>
      <c r="R206">
        <v>-625.86911257829001</v>
      </c>
      <c r="S206">
        <v>-508.05180461434702</v>
      </c>
      <c r="T206">
        <v>-1676.1227728654801</v>
      </c>
      <c r="U206">
        <v>-6405.9289533648598</v>
      </c>
      <c r="V206">
        <v>-2350</v>
      </c>
      <c r="W206">
        <v>-564</v>
      </c>
      <c r="X206">
        <v>-3536</v>
      </c>
      <c r="Y206">
        <v>-5190</v>
      </c>
      <c r="Z206">
        <v>17097.096119560199</v>
      </c>
      <c r="AA206">
        <v>-3510.00000000001</v>
      </c>
      <c r="AC206">
        <v>-6882.7573469891904</v>
      </c>
      <c r="AD206">
        <v>0</v>
      </c>
      <c r="AE206">
        <v>2394</v>
      </c>
      <c r="AF206">
        <v>-164</v>
      </c>
      <c r="AG206">
        <v>-3930</v>
      </c>
      <c r="AH206">
        <v>21</v>
      </c>
      <c r="AI206">
        <v>3213</v>
      </c>
      <c r="AJ206">
        <v>-296</v>
      </c>
      <c r="AK206">
        <v>-600.23599999999999</v>
      </c>
      <c r="AL206">
        <v>-1800</v>
      </c>
      <c r="AM206">
        <v>1515</v>
      </c>
      <c r="AN206">
        <v>671</v>
      </c>
      <c r="AP206">
        <v>-3404</v>
      </c>
      <c r="AQ206">
        <v>-4612.9834410365102</v>
      </c>
      <c r="AR206">
        <v>-8291.50833933166</v>
      </c>
      <c r="AS206">
        <v>-7440.5838800061201</v>
      </c>
      <c r="AT206">
        <v>-11946.846644678501</v>
      </c>
      <c r="AU206">
        <v>4826</v>
      </c>
      <c r="AV206">
        <v>-1407.3484823617</v>
      </c>
      <c r="AW206">
        <v>-1998.8785535903801</v>
      </c>
      <c r="AX206">
        <v>-4182</v>
      </c>
      <c r="AY206">
        <v>0</v>
      </c>
      <c r="AZ206">
        <v>619.49744999998404</v>
      </c>
      <c r="BA206">
        <v>12286.0719992266</v>
      </c>
      <c r="BB206">
        <v>-7171</v>
      </c>
      <c r="BC206">
        <v>-1349</v>
      </c>
      <c r="BE206">
        <f t="shared" si="6"/>
        <v>-110044.89884188067</v>
      </c>
      <c r="BF206">
        <f t="shared" si="7"/>
        <v>46946481.749407165</v>
      </c>
    </row>
    <row r="207" spans="1:58" x14ac:dyDescent="0.2">
      <c r="A207" s="1">
        <v>45475</v>
      </c>
      <c r="B207">
        <v>-2720</v>
      </c>
      <c r="C207">
        <v>7296</v>
      </c>
      <c r="D207">
        <v>-2460.91895670034</v>
      </c>
      <c r="E207">
        <v>-2853.3774040066401</v>
      </c>
      <c r="F207">
        <v>1496</v>
      </c>
      <c r="G207">
        <v>6373.0688030627898</v>
      </c>
      <c r="H207">
        <v>-3674.4935244069602</v>
      </c>
      <c r="I207">
        <v>1194.97647947889</v>
      </c>
      <c r="J207">
        <v>-4218</v>
      </c>
      <c r="K207">
        <v>-324</v>
      </c>
      <c r="L207">
        <v>-40025.336918611698</v>
      </c>
      <c r="M207">
        <v>1414</v>
      </c>
      <c r="N207">
        <v>505.91320000000701</v>
      </c>
      <c r="O207">
        <v>-3959.99999999997</v>
      </c>
      <c r="P207">
        <v>-1782</v>
      </c>
      <c r="Q207">
        <v>-870</v>
      </c>
      <c r="R207">
        <v>-11721.965141676001</v>
      </c>
      <c r="S207">
        <v>564.91047806256199</v>
      </c>
      <c r="T207">
        <v>336</v>
      </c>
      <c r="U207">
        <v>-1989</v>
      </c>
      <c r="V207">
        <v>-2550</v>
      </c>
      <c r="W207">
        <v>-3368</v>
      </c>
      <c r="X207">
        <v>-1377</v>
      </c>
      <c r="Y207">
        <v>430</v>
      </c>
      <c r="Z207">
        <v>-7497.7582976266203</v>
      </c>
      <c r="AA207">
        <v>-3400.4216738516702</v>
      </c>
      <c r="AC207">
        <v>-28056</v>
      </c>
      <c r="AD207">
        <v>0</v>
      </c>
      <c r="AE207">
        <v>-3906</v>
      </c>
      <c r="AF207">
        <v>35</v>
      </c>
      <c r="AG207">
        <v>-7671</v>
      </c>
      <c r="AH207">
        <v>-77</v>
      </c>
      <c r="AI207">
        <v>2448</v>
      </c>
      <c r="AJ207">
        <v>24.403803859782801</v>
      </c>
      <c r="AK207">
        <v>3451.357</v>
      </c>
      <c r="AL207">
        <v>-1000</v>
      </c>
      <c r="AM207">
        <v>1800.9484238011401</v>
      </c>
      <c r="AN207">
        <v>1909.6720901794999</v>
      </c>
      <c r="AP207">
        <v>-888</v>
      </c>
      <c r="AQ207">
        <v>1150</v>
      </c>
      <c r="AR207">
        <v>-5936</v>
      </c>
      <c r="AS207">
        <v>272.49621359218798</v>
      </c>
      <c r="AT207">
        <v>-2952</v>
      </c>
      <c r="AU207">
        <v>-39.389358380075798</v>
      </c>
      <c r="AV207">
        <v>-1348.56507517572</v>
      </c>
      <c r="AW207">
        <v>2798.09517360772</v>
      </c>
      <c r="AX207">
        <v>1483.4366059568599</v>
      </c>
      <c r="AY207">
        <v>0</v>
      </c>
      <c r="AZ207">
        <v>1191.34125000002</v>
      </c>
      <c r="BA207">
        <v>-8959.5426908310601</v>
      </c>
      <c r="BB207">
        <v>-13130</v>
      </c>
      <c r="BC207">
        <v>-71</v>
      </c>
      <c r="BE207">
        <f t="shared" si="6"/>
        <v>-132651.14951966528</v>
      </c>
      <c r="BF207">
        <f t="shared" si="7"/>
        <v>46813830.599887498</v>
      </c>
    </row>
    <row r="208" spans="1:58" x14ac:dyDescent="0.2">
      <c r="A208" s="1">
        <v>45476</v>
      </c>
      <c r="B208">
        <v>3208</v>
      </c>
      <c r="C208">
        <v>5376</v>
      </c>
      <c r="D208">
        <v>-5852.9304011873501</v>
      </c>
      <c r="E208">
        <v>-2060</v>
      </c>
      <c r="F208">
        <v>-3036</v>
      </c>
      <c r="G208">
        <v>-6419.00000000001</v>
      </c>
      <c r="H208">
        <v>6192.7849619999997</v>
      </c>
      <c r="I208">
        <v>-10674</v>
      </c>
      <c r="J208">
        <v>4588</v>
      </c>
      <c r="K208">
        <v>633.20442572584102</v>
      </c>
      <c r="L208">
        <v>2530.64295305717</v>
      </c>
      <c r="M208">
        <v>-13756.199999999901</v>
      </c>
      <c r="N208">
        <v>-3072.8614400000201</v>
      </c>
      <c r="O208">
        <v>-5869.104527122</v>
      </c>
      <c r="P208">
        <v>2937</v>
      </c>
      <c r="Q208">
        <v>4060</v>
      </c>
      <c r="R208">
        <v>3570</v>
      </c>
      <c r="S208">
        <v>823.01845065704697</v>
      </c>
      <c r="T208">
        <v>3004</v>
      </c>
      <c r="U208">
        <v>741</v>
      </c>
      <c r="V208">
        <v>1025</v>
      </c>
      <c r="W208">
        <v>1204</v>
      </c>
      <c r="X208">
        <v>8041</v>
      </c>
      <c r="Y208">
        <v>1010</v>
      </c>
      <c r="Z208">
        <v>4802</v>
      </c>
      <c r="AA208">
        <v>1383.07737766942</v>
      </c>
      <c r="AC208">
        <v>11451.315284149299</v>
      </c>
      <c r="AD208">
        <v>-1950</v>
      </c>
      <c r="AE208">
        <v>-1449</v>
      </c>
      <c r="AF208">
        <v>-133</v>
      </c>
      <c r="AG208">
        <v>573</v>
      </c>
      <c r="AH208">
        <v>55.741549106006602</v>
      </c>
      <c r="AI208">
        <v>-2142</v>
      </c>
      <c r="AJ208">
        <v>192.61922991504599</v>
      </c>
      <c r="AK208">
        <v>-5652.4937</v>
      </c>
      <c r="AL208">
        <v>2500</v>
      </c>
      <c r="AM208">
        <v>-1212.0698836494901</v>
      </c>
      <c r="AN208">
        <v>-832.31963043002895</v>
      </c>
      <c r="AP208">
        <v>3774</v>
      </c>
      <c r="AQ208">
        <v>2390.27642237701</v>
      </c>
      <c r="AR208">
        <v>8268</v>
      </c>
      <c r="AS208">
        <v>-1750</v>
      </c>
      <c r="AT208">
        <v>-6888</v>
      </c>
      <c r="AU208">
        <v>-8131.88083708677</v>
      </c>
      <c r="AV208">
        <v>-76.320429369935994</v>
      </c>
      <c r="AW208">
        <v>5268.7740948788496</v>
      </c>
      <c r="AX208">
        <v>-6170</v>
      </c>
      <c r="AY208">
        <v>0</v>
      </c>
      <c r="AZ208">
        <v>0</v>
      </c>
      <c r="BA208">
        <v>14061.15612</v>
      </c>
      <c r="BB208">
        <v>10796.9412871408</v>
      </c>
      <c r="BC208">
        <v>6887</v>
      </c>
      <c r="BE208">
        <f t="shared" si="6"/>
        <v>34220.371307830988</v>
      </c>
      <c r="BF208">
        <f t="shared" si="7"/>
        <v>46848050.971195325</v>
      </c>
    </row>
    <row r="209" spans="1:58" x14ac:dyDescent="0.2">
      <c r="A209" s="1">
        <v>45477</v>
      </c>
      <c r="B209">
        <v>7344</v>
      </c>
      <c r="C209">
        <v>10752</v>
      </c>
      <c r="D209">
        <v>18908</v>
      </c>
      <c r="E209">
        <v>-12463</v>
      </c>
      <c r="F209">
        <v>1690.8979929129</v>
      </c>
      <c r="G209">
        <v>-4952.4909175131097</v>
      </c>
      <c r="H209">
        <v>2813.6608499999902</v>
      </c>
      <c r="I209">
        <v>-3124.24768166285</v>
      </c>
      <c r="J209">
        <v>11470</v>
      </c>
      <c r="K209">
        <v>626</v>
      </c>
      <c r="L209">
        <v>13605.626529741699</v>
      </c>
      <c r="M209">
        <v>-2531.0276700753402</v>
      </c>
      <c r="N209">
        <v>294.76041531818203</v>
      </c>
      <c r="O209">
        <v>-10706.1301219177</v>
      </c>
      <c r="P209">
        <v>2145</v>
      </c>
      <c r="Q209">
        <v>7250</v>
      </c>
      <c r="R209">
        <v>3910</v>
      </c>
      <c r="S209">
        <v>308.86205543361802</v>
      </c>
      <c r="T209">
        <v>2592</v>
      </c>
      <c r="U209">
        <v>5343</v>
      </c>
      <c r="V209">
        <v>7325</v>
      </c>
      <c r="W209">
        <v>304</v>
      </c>
      <c r="X209">
        <v>9906.4472228079903</v>
      </c>
      <c r="Y209">
        <v>3180</v>
      </c>
      <c r="Z209">
        <v>20864.252296425999</v>
      </c>
      <c r="AA209">
        <v>9461.0393823968207</v>
      </c>
      <c r="AC209">
        <v>10900</v>
      </c>
      <c r="AD209">
        <v>450</v>
      </c>
      <c r="AE209">
        <v>-2268</v>
      </c>
      <c r="AF209">
        <v>-224</v>
      </c>
      <c r="AG209">
        <v>8901</v>
      </c>
      <c r="AH209">
        <v>-200</v>
      </c>
      <c r="AI209">
        <v>8568</v>
      </c>
      <c r="AJ209">
        <v>142.94402447781201</v>
      </c>
      <c r="AK209">
        <v>-9393.1566750000002</v>
      </c>
      <c r="AL209">
        <v>1400</v>
      </c>
      <c r="AM209">
        <v>-9540</v>
      </c>
      <c r="AN209">
        <v>-7232.3376713087</v>
      </c>
      <c r="AP209">
        <v>7844</v>
      </c>
      <c r="AQ209">
        <v>5601.7626159927004</v>
      </c>
      <c r="AR209">
        <v>5300</v>
      </c>
      <c r="AS209">
        <v>10245.4515313294</v>
      </c>
      <c r="AT209">
        <v>16236</v>
      </c>
      <c r="AU209">
        <v>-42636</v>
      </c>
      <c r="AV209">
        <v>-50.854367541355998</v>
      </c>
      <c r="AW209">
        <v>1733.8883524600401</v>
      </c>
      <c r="AX209">
        <v>-2580</v>
      </c>
      <c r="AY209">
        <v>0</v>
      </c>
      <c r="AZ209">
        <v>0</v>
      </c>
      <c r="BA209">
        <v>-4071.8950800003799</v>
      </c>
      <c r="BB209">
        <v>16562</v>
      </c>
      <c r="BC209">
        <v>4686</v>
      </c>
      <c r="BE209">
        <f t="shared" si="6"/>
        <v>126692.45308427772</v>
      </c>
      <c r="BF209">
        <f t="shared" si="7"/>
        <v>46974743.4242796</v>
      </c>
    </row>
    <row r="210" spans="1:58" x14ac:dyDescent="0.2">
      <c r="A210" s="1">
        <v>45478</v>
      </c>
      <c r="B210">
        <v>-1860.4924254810201</v>
      </c>
      <c r="C210">
        <v>672</v>
      </c>
      <c r="D210">
        <v>6520</v>
      </c>
      <c r="E210">
        <v>8281.6808740201104</v>
      </c>
      <c r="F210">
        <v>7040</v>
      </c>
      <c r="G210">
        <v>4044.5076552477799</v>
      </c>
      <c r="H210">
        <v>-649.75051179356694</v>
      </c>
      <c r="I210">
        <v>2225</v>
      </c>
      <c r="J210">
        <v>2997</v>
      </c>
      <c r="K210">
        <v>-89.597494812909105</v>
      </c>
      <c r="L210">
        <v>-13653</v>
      </c>
      <c r="M210">
        <v>-1503.2649802695801</v>
      </c>
      <c r="N210">
        <v>0</v>
      </c>
      <c r="O210">
        <v>9195.3383533488595</v>
      </c>
      <c r="P210">
        <v>1881</v>
      </c>
      <c r="Q210">
        <v>1450</v>
      </c>
      <c r="R210">
        <v>1530</v>
      </c>
      <c r="S210">
        <v>1954.30608600401</v>
      </c>
      <c r="T210">
        <v>2032</v>
      </c>
      <c r="U210">
        <v>-702</v>
      </c>
      <c r="V210">
        <v>-1475</v>
      </c>
      <c r="W210">
        <v>-320</v>
      </c>
      <c r="X210">
        <v>-11775.5005569102</v>
      </c>
      <c r="Y210">
        <v>2570</v>
      </c>
      <c r="Z210">
        <v>8248.9007762922993</v>
      </c>
      <c r="AA210">
        <v>-1956.00000000002</v>
      </c>
      <c r="AC210">
        <v>-1528</v>
      </c>
      <c r="AD210">
        <v>1080</v>
      </c>
      <c r="AE210">
        <v>441</v>
      </c>
      <c r="AF210">
        <v>61</v>
      </c>
      <c r="AG210">
        <v>-4668</v>
      </c>
      <c r="AH210">
        <v>-88</v>
      </c>
      <c r="AI210">
        <v>3060</v>
      </c>
      <c r="AJ210">
        <v>150.50032219067199</v>
      </c>
      <c r="AK210">
        <v>3833.7285226067902</v>
      </c>
      <c r="AL210">
        <v>-700</v>
      </c>
      <c r="AM210">
        <v>-180</v>
      </c>
      <c r="AN210">
        <v>350</v>
      </c>
      <c r="AP210">
        <v>1110</v>
      </c>
      <c r="AQ210">
        <v>-715.48432148243398</v>
      </c>
      <c r="AR210">
        <v>8240.6562701161001</v>
      </c>
      <c r="AS210">
        <v>2007</v>
      </c>
      <c r="AT210">
        <v>5166</v>
      </c>
      <c r="AU210">
        <v>-1290.9073413216699</v>
      </c>
      <c r="AV210">
        <v>-25.427183770677999</v>
      </c>
      <c r="AW210">
        <v>1034.6777072134901</v>
      </c>
      <c r="AX210">
        <v>3389.37523593176</v>
      </c>
      <c r="AY210">
        <v>0</v>
      </c>
      <c r="AZ210">
        <v>0</v>
      </c>
      <c r="BA210">
        <v>-5106.60496995019</v>
      </c>
      <c r="BB210">
        <v>4900</v>
      </c>
      <c r="BC210">
        <v>2453.51807268518</v>
      </c>
      <c r="BE210">
        <f t="shared" si="6"/>
        <v>49632.160089864803</v>
      </c>
      <c r="BF210">
        <f t="shared" si="7"/>
        <v>47024375.584369466</v>
      </c>
    </row>
    <row r="211" spans="1:58" x14ac:dyDescent="0.2">
      <c r="A211" s="1">
        <v>45481</v>
      </c>
      <c r="B211">
        <v>4490</v>
      </c>
      <c r="C211">
        <v>6889.32055920327</v>
      </c>
      <c r="D211">
        <v>11046.934619138399</v>
      </c>
      <c r="E211">
        <v>-9682</v>
      </c>
      <c r="F211">
        <v>4260</v>
      </c>
      <c r="G211">
        <v>2622.99999999999</v>
      </c>
      <c r="H211">
        <v>1674.78154746065</v>
      </c>
      <c r="I211">
        <v>570</v>
      </c>
      <c r="J211">
        <v>4107</v>
      </c>
      <c r="K211">
        <v>1717.3110270946599</v>
      </c>
      <c r="L211">
        <v>-2709.1641198555099</v>
      </c>
      <c r="M211">
        <v>5229.2141745073004</v>
      </c>
      <c r="N211">
        <v>-31.032238955101999</v>
      </c>
      <c r="O211">
        <v>-1862.00000000001</v>
      </c>
      <c r="P211">
        <v>867.47255933807196</v>
      </c>
      <c r="Q211">
        <v>-2917.45407164889</v>
      </c>
      <c r="R211">
        <v>-3060</v>
      </c>
      <c r="S211">
        <v>-118.175040560591</v>
      </c>
      <c r="T211">
        <v>-544</v>
      </c>
      <c r="U211">
        <v>2418</v>
      </c>
      <c r="V211">
        <v>2325</v>
      </c>
      <c r="W211">
        <v>1268</v>
      </c>
      <c r="X211">
        <v>11742</v>
      </c>
      <c r="Y211">
        <v>1153.53210729486</v>
      </c>
      <c r="Z211">
        <v>13938.8723019769</v>
      </c>
      <c r="AA211">
        <v>2952.00000000004</v>
      </c>
      <c r="AC211">
        <v>1484</v>
      </c>
      <c r="AD211">
        <v>-120</v>
      </c>
      <c r="AE211">
        <v>-3843</v>
      </c>
      <c r="AF211">
        <v>-195</v>
      </c>
      <c r="AG211">
        <v>1968</v>
      </c>
      <c r="AH211">
        <v>-752.88115161796304</v>
      </c>
      <c r="AI211">
        <v>145.92433433001199</v>
      </c>
      <c r="AJ211">
        <v>1456.0567704228699</v>
      </c>
      <c r="AK211">
        <v>-2247.4373999999998</v>
      </c>
      <c r="AL211">
        <v>2550</v>
      </c>
      <c r="AM211">
        <v>-2282.10571053182</v>
      </c>
      <c r="AN211">
        <v>-1918</v>
      </c>
      <c r="AP211">
        <v>6648.0637786527705</v>
      </c>
      <c r="AQ211">
        <v>-208.18420975872101</v>
      </c>
      <c r="AR211">
        <v>4443.5935241444804</v>
      </c>
      <c r="AS211">
        <v>5895</v>
      </c>
      <c r="AT211">
        <v>-492</v>
      </c>
      <c r="AU211">
        <v>3360.5979491655899</v>
      </c>
      <c r="AV211">
        <v>60</v>
      </c>
      <c r="AW211">
        <v>-6673.7033824451701</v>
      </c>
      <c r="AX211">
        <v>-272</v>
      </c>
      <c r="AY211">
        <v>-267.99382107422599</v>
      </c>
      <c r="AZ211">
        <v>-3581.1208500000398</v>
      </c>
      <c r="BA211">
        <v>-4186.4701500003903</v>
      </c>
      <c r="BB211">
        <v>7252</v>
      </c>
      <c r="BC211">
        <v>114.792480499405</v>
      </c>
      <c r="BE211">
        <f t="shared" si="6"/>
        <v>66686.745586780846</v>
      </c>
      <c r="BF211">
        <f t="shared" si="7"/>
        <v>47091062.329956248</v>
      </c>
    </row>
    <row r="212" spans="1:58" x14ac:dyDescent="0.2">
      <c r="A212" s="1">
        <v>45482</v>
      </c>
      <c r="B212">
        <v>2481.7088452131302</v>
      </c>
      <c r="C212">
        <v>9371.5769480835006</v>
      </c>
      <c r="D212">
        <v>11461.541823314299</v>
      </c>
      <c r="E212">
        <v>-2817.84927961312</v>
      </c>
      <c r="F212">
        <v>3780</v>
      </c>
      <c r="G212">
        <v>-1204.00000000002</v>
      </c>
      <c r="H212">
        <v>-10308.0802598091</v>
      </c>
      <c r="I212">
        <v>2685</v>
      </c>
      <c r="J212">
        <v>15940.351008056001</v>
      </c>
      <c r="K212">
        <v>3814.9703266428101</v>
      </c>
      <c r="L212">
        <v>12271.2604820861</v>
      </c>
      <c r="M212">
        <v>985.60000000001401</v>
      </c>
      <c r="N212">
        <v>-185.083080000032</v>
      </c>
      <c r="O212">
        <v>5635.00000000001</v>
      </c>
      <c r="P212">
        <v>6066.49284331749</v>
      </c>
      <c r="Q212">
        <v>26660</v>
      </c>
      <c r="R212">
        <v>15810</v>
      </c>
      <c r="S212">
        <v>1505.1209664738101</v>
      </c>
      <c r="T212">
        <v>4228</v>
      </c>
      <c r="U212">
        <v>7836.5456362167597</v>
      </c>
      <c r="V212">
        <v>6625</v>
      </c>
      <c r="W212">
        <v>2668</v>
      </c>
      <c r="X212">
        <v>18297</v>
      </c>
      <c r="Y212">
        <v>13417.6981281724</v>
      </c>
      <c r="Z212">
        <v>8607.9156745018299</v>
      </c>
      <c r="AA212">
        <v>7980</v>
      </c>
      <c r="AC212">
        <v>9228</v>
      </c>
      <c r="AD212">
        <v>8490</v>
      </c>
      <c r="AE212">
        <v>2394</v>
      </c>
      <c r="AF212">
        <v>93.2403895475463</v>
      </c>
      <c r="AG212">
        <v>12165</v>
      </c>
      <c r="AH212">
        <v>651.43240207161602</v>
      </c>
      <c r="AI212">
        <v>2989.3046416438501</v>
      </c>
      <c r="AJ212">
        <v>2974.4930906681102</v>
      </c>
      <c r="AK212">
        <v>-4509.0715106977204</v>
      </c>
      <c r="AL212">
        <v>4778.0306697031101</v>
      </c>
      <c r="AM212">
        <v>-9749.7826503780998</v>
      </c>
      <c r="AN212">
        <v>-7699.13940426103</v>
      </c>
      <c r="AP212">
        <v>3712.3798092648699</v>
      </c>
      <c r="AQ212">
        <v>11785.998895271699</v>
      </c>
      <c r="AR212">
        <v>29247.686922111199</v>
      </c>
      <c r="AS212">
        <v>3033</v>
      </c>
      <c r="AT212">
        <v>18450</v>
      </c>
      <c r="AU212">
        <v>-110</v>
      </c>
      <c r="AV212">
        <v>-355.27767692990199</v>
      </c>
      <c r="AW212">
        <v>22428</v>
      </c>
      <c r="AX212">
        <v>2372</v>
      </c>
      <c r="AY212">
        <v>0</v>
      </c>
      <c r="AZ212">
        <v>0</v>
      </c>
      <c r="BA212">
        <v>19454.7730499998</v>
      </c>
      <c r="BB212">
        <v>17150</v>
      </c>
      <c r="BC212">
        <v>9081.8641929906098</v>
      </c>
      <c r="BE212">
        <f t="shared" si="6"/>
        <v>331669.70288366155</v>
      </c>
      <c r="BF212">
        <f t="shared" si="7"/>
        <v>47422732.032839909</v>
      </c>
    </row>
    <row r="213" spans="1:58" x14ac:dyDescent="0.2">
      <c r="A213" s="1">
        <v>45483</v>
      </c>
      <c r="B213">
        <v>1554.7062408162899</v>
      </c>
      <c r="C213">
        <v>18550.57379988</v>
      </c>
      <c r="D213">
        <v>4945.2968842329201</v>
      </c>
      <c r="E213">
        <v>-6476.0104403299101</v>
      </c>
      <c r="F213">
        <v>1167.2302173549599</v>
      </c>
      <c r="G213">
        <v>-4772.99999999995</v>
      </c>
      <c r="H213">
        <v>9367.2622080000001</v>
      </c>
      <c r="I213">
        <v>-4625</v>
      </c>
      <c r="J213">
        <v>7484.6769524084903</v>
      </c>
      <c r="K213">
        <v>4055.0778438684201</v>
      </c>
      <c r="L213">
        <v>15939</v>
      </c>
      <c r="M213">
        <v>-4697</v>
      </c>
      <c r="N213">
        <v>1525.32024000001</v>
      </c>
      <c r="O213">
        <v>-5782.00000000001</v>
      </c>
      <c r="P213">
        <v>7472.7879303100399</v>
      </c>
      <c r="Q213">
        <v>8370</v>
      </c>
      <c r="R213">
        <v>19380</v>
      </c>
      <c r="S213">
        <v>2315.18837903131</v>
      </c>
      <c r="T213">
        <v>4482.1658721475396</v>
      </c>
      <c r="U213">
        <v>9792.5454794358393</v>
      </c>
      <c r="V213">
        <v>7900</v>
      </c>
      <c r="W213">
        <v>584</v>
      </c>
      <c r="X213">
        <v>13262</v>
      </c>
      <c r="Y213">
        <v>12450</v>
      </c>
      <c r="Z213">
        <v>31459.502282241199</v>
      </c>
      <c r="AA213">
        <v>9365.99999999996</v>
      </c>
      <c r="AC213">
        <v>14432</v>
      </c>
      <c r="AD213">
        <v>-6642</v>
      </c>
      <c r="AE213">
        <v>22869</v>
      </c>
      <c r="AF213">
        <v>210.871939493936</v>
      </c>
      <c r="AG213">
        <v>5835</v>
      </c>
      <c r="AH213">
        <v>452.39272589422302</v>
      </c>
      <c r="AI213">
        <v>8331.6986641712701</v>
      </c>
      <c r="AJ213">
        <v>3667.3939715195302</v>
      </c>
      <c r="AK213">
        <v>-8405.5032921085603</v>
      </c>
      <c r="AL213">
        <v>5809.9147429549703</v>
      </c>
      <c r="AM213">
        <v>-4286.45326164365</v>
      </c>
      <c r="AN213">
        <v>-3788.38184285545</v>
      </c>
      <c r="AP213">
        <v>10572.192497145301</v>
      </c>
      <c r="AQ213">
        <v>14948.642455089401</v>
      </c>
      <c r="AR213">
        <v>28448</v>
      </c>
      <c r="AS213">
        <v>3519</v>
      </c>
      <c r="AT213">
        <v>7626</v>
      </c>
      <c r="AU213">
        <v>-649</v>
      </c>
      <c r="AV213">
        <v>-25.355678820961899</v>
      </c>
      <c r="AW213">
        <v>10584</v>
      </c>
      <c r="AX213">
        <v>-3624</v>
      </c>
      <c r="AY213">
        <v>0</v>
      </c>
      <c r="AZ213">
        <v>0</v>
      </c>
      <c r="BA213">
        <v>-815.67900224041603</v>
      </c>
      <c r="BB213">
        <v>29204</v>
      </c>
      <c r="BC213">
        <v>11739.8024090696</v>
      </c>
      <c r="BE213">
        <f t="shared" si="6"/>
        <v>315083.86021706625</v>
      </c>
      <c r="BF213">
        <f t="shared" si="7"/>
        <v>47737815.893056974</v>
      </c>
    </row>
    <row r="214" spans="1:58" x14ac:dyDescent="0.2">
      <c r="A214" s="1">
        <v>45484</v>
      </c>
      <c r="B214">
        <v>-294.22280939777602</v>
      </c>
      <c r="C214">
        <v>2436.2624961486099</v>
      </c>
      <c r="D214">
        <v>-14446.692354515601</v>
      </c>
      <c r="E214">
        <v>3598.02092181138</v>
      </c>
      <c r="F214">
        <v>-3338.4914921070599</v>
      </c>
      <c r="G214">
        <v>1246.99999999999</v>
      </c>
      <c r="H214">
        <v>3722.2570879999998</v>
      </c>
      <c r="I214">
        <v>-60.993575527915297</v>
      </c>
      <c r="J214">
        <v>-10050.0168738881</v>
      </c>
      <c r="K214">
        <v>-3357.96692046925</v>
      </c>
      <c r="L214">
        <v>-6732</v>
      </c>
      <c r="M214">
        <v>-5251.3999999999796</v>
      </c>
      <c r="N214">
        <v>2877.7013699999802</v>
      </c>
      <c r="O214">
        <v>686.00000000005502</v>
      </c>
      <c r="P214">
        <v>-8739.6084298366495</v>
      </c>
      <c r="Q214">
        <v>-13640</v>
      </c>
      <c r="R214">
        <v>-9350</v>
      </c>
      <c r="S214">
        <v>-5824.4772139603801</v>
      </c>
      <c r="T214">
        <v>-571.83447627911698</v>
      </c>
      <c r="U214">
        <v>-5728.9750259378097</v>
      </c>
      <c r="V214">
        <v>-6900</v>
      </c>
      <c r="W214">
        <v>-1307.9753216904101</v>
      </c>
      <c r="X214">
        <v>-4731</v>
      </c>
      <c r="Y214">
        <v>-1815</v>
      </c>
      <c r="Z214">
        <v>-20112</v>
      </c>
      <c r="AA214">
        <v>-8325.1401011976395</v>
      </c>
      <c r="AC214">
        <v>-3996</v>
      </c>
      <c r="AD214">
        <v>0</v>
      </c>
      <c r="AE214">
        <v>-17199</v>
      </c>
      <c r="AF214">
        <v>-1556.3303780311801</v>
      </c>
      <c r="AG214">
        <v>-11475</v>
      </c>
      <c r="AH214">
        <v>-12764.372552285</v>
      </c>
      <c r="AI214">
        <v>1607.36994092232</v>
      </c>
      <c r="AJ214">
        <v>-4247.0837568670204</v>
      </c>
      <c r="AK214">
        <v>3453.31934575579</v>
      </c>
      <c r="AL214">
        <v>-6063.0010427206398</v>
      </c>
      <c r="AM214">
        <v>6232.1828882475402</v>
      </c>
      <c r="AN214">
        <v>5302.3371020198601</v>
      </c>
      <c r="AP214">
        <v>-6613.6937390810299</v>
      </c>
      <c r="AQ214">
        <v>-2275.0888255253199</v>
      </c>
      <c r="AR214">
        <v>-29718</v>
      </c>
      <c r="AS214">
        <v>-5539.16097825212</v>
      </c>
      <c r="AT214">
        <v>-9102</v>
      </c>
      <c r="AU214">
        <v>-187</v>
      </c>
      <c r="AV214">
        <v>249.643747837012</v>
      </c>
      <c r="AW214">
        <v>-15624</v>
      </c>
      <c r="AX214">
        <v>1084</v>
      </c>
      <c r="AY214">
        <v>-6041.5804799998496</v>
      </c>
      <c r="AZ214">
        <v>1762.8048000000199</v>
      </c>
      <c r="BA214">
        <v>-59918.7140504009</v>
      </c>
      <c r="BB214">
        <v>-10192</v>
      </c>
      <c r="BC214">
        <v>-17850.942757117999</v>
      </c>
      <c r="BE214">
        <f t="shared" si="6"/>
        <v>-316681.8634543462</v>
      </c>
      <c r="BF214">
        <f t="shared" si="7"/>
        <v>47421134.029602624</v>
      </c>
    </row>
    <row r="215" spans="1:58" x14ac:dyDescent="0.2">
      <c r="A215" s="1">
        <v>45485</v>
      </c>
      <c r="B215">
        <v>-390</v>
      </c>
      <c r="C215">
        <v>16989.356816201402</v>
      </c>
      <c r="D215">
        <v>-2956</v>
      </c>
      <c r="E215">
        <v>-3148.9420657587598</v>
      </c>
      <c r="F215">
        <v>2106</v>
      </c>
      <c r="G215">
        <v>-473.00000000004297</v>
      </c>
      <c r="H215">
        <v>10187.865727999901</v>
      </c>
      <c r="I215">
        <v>-2452</v>
      </c>
      <c r="J215">
        <v>13330</v>
      </c>
      <c r="K215">
        <v>3072</v>
      </c>
      <c r="L215">
        <v>8250</v>
      </c>
      <c r="M215">
        <v>723.06393291262896</v>
      </c>
      <c r="N215">
        <v>-391.374234352212</v>
      </c>
      <c r="O215">
        <v>-342.999999999983</v>
      </c>
      <c r="P215">
        <v>5600</v>
      </c>
      <c r="Q215">
        <v>-930</v>
      </c>
      <c r="R215">
        <v>7650</v>
      </c>
      <c r="S215">
        <v>-489.58531086039301</v>
      </c>
      <c r="T215">
        <v>-1271.8272149644999</v>
      </c>
      <c r="U215">
        <v>-2867</v>
      </c>
      <c r="V215">
        <v>2450</v>
      </c>
      <c r="W215">
        <v>975</v>
      </c>
      <c r="X215">
        <v>15523</v>
      </c>
      <c r="Y215">
        <v>4659.2170234144596</v>
      </c>
      <c r="Z215">
        <v>16341</v>
      </c>
      <c r="AA215">
        <v>3373.49999999997</v>
      </c>
      <c r="AC215">
        <v>8304</v>
      </c>
      <c r="AD215">
        <v>516</v>
      </c>
      <c r="AE215">
        <v>2899.1100042467501</v>
      </c>
      <c r="AF215">
        <v>232</v>
      </c>
      <c r="AG215">
        <v>-3825</v>
      </c>
      <c r="AH215">
        <v>-3200</v>
      </c>
      <c r="AI215">
        <v>1684.2128788601301</v>
      </c>
      <c r="AJ215">
        <v>1680</v>
      </c>
      <c r="AK215">
        <v>0</v>
      </c>
      <c r="AL215">
        <v>11408</v>
      </c>
      <c r="AM215">
        <v>-372</v>
      </c>
      <c r="AN215">
        <v>0</v>
      </c>
      <c r="AP215">
        <v>5724</v>
      </c>
      <c r="AQ215">
        <v>-14691.1904166862</v>
      </c>
      <c r="AR215">
        <v>-270.60970734590802</v>
      </c>
      <c r="AS215">
        <v>3630</v>
      </c>
      <c r="AT215">
        <v>1968</v>
      </c>
      <c r="AU215">
        <v>0</v>
      </c>
      <c r="AV215">
        <v>-253.091384629549</v>
      </c>
      <c r="AW215">
        <v>23940</v>
      </c>
      <c r="AX215">
        <v>-932</v>
      </c>
      <c r="AY215">
        <v>419.89338877955498</v>
      </c>
      <c r="AZ215">
        <v>-2251.9415000000199</v>
      </c>
      <c r="BA215">
        <v>-26488.723484545299</v>
      </c>
      <c r="BB215">
        <v>-3430</v>
      </c>
      <c r="BC215">
        <v>-896</v>
      </c>
      <c r="BE215">
        <f t="shared" si="6"/>
        <v>101311.93445327191</v>
      </c>
      <c r="BF215">
        <f t="shared" si="7"/>
        <v>47522445.964055896</v>
      </c>
    </row>
    <row r="216" spans="1:58" x14ac:dyDescent="0.2">
      <c r="A216" s="1">
        <v>45488</v>
      </c>
      <c r="B216">
        <v>5376.7408755617198</v>
      </c>
      <c r="C216">
        <v>35612.2840544828</v>
      </c>
      <c r="D216">
        <v>4434</v>
      </c>
      <c r="E216">
        <v>-2923.1083364814199</v>
      </c>
      <c r="F216">
        <v>4344.0398259661497</v>
      </c>
      <c r="G216">
        <v>-2752</v>
      </c>
      <c r="H216">
        <v>-5490.4141626253104</v>
      </c>
      <c r="I216">
        <v>-384</v>
      </c>
      <c r="J216">
        <v>6364</v>
      </c>
      <c r="K216">
        <v>1616</v>
      </c>
      <c r="L216">
        <v>1749</v>
      </c>
      <c r="M216">
        <v>-2388.1901142964898</v>
      </c>
      <c r="N216">
        <v>2443.2064901775402</v>
      </c>
      <c r="O216">
        <v>1175.99999999995</v>
      </c>
      <c r="P216">
        <v>10600</v>
      </c>
      <c r="Q216">
        <v>5890</v>
      </c>
      <c r="R216">
        <v>-850</v>
      </c>
      <c r="S216">
        <v>412.491955099135</v>
      </c>
      <c r="T216">
        <v>12116.5272013759</v>
      </c>
      <c r="U216">
        <v>-2021</v>
      </c>
      <c r="V216">
        <v>6325</v>
      </c>
      <c r="W216">
        <v>474.26442559839501</v>
      </c>
      <c r="X216">
        <v>8569</v>
      </c>
      <c r="Y216">
        <v>15502.138204447499</v>
      </c>
      <c r="Z216">
        <v>16341</v>
      </c>
      <c r="AA216">
        <v>8255</v>
      </c>
      <c r="AC216">
        <v>9600</v>
      </c>
      <c r="AD216">
        <v>180</v>
      </c>
      <c r="AE216">
        <v>7696</v>
      </c>
      <c r="AF216">
        <v>1024</v>
      </c>
      <c r="AG216">
        <v>7200</v>
      </c>
      <c r="AH216">
        <v>8892.4535670055393</v>
      </c>
      <c r="AI216">
        <v>16469.394844492101</v>
      </c>
      <c r="AJ216">
        <v>2744</v>
      </c>
      <c r="AK216">
        <v>0</v>
      </c>
      <c r="AL216">
        <v>21397.536739920601</v>
      </c>
      <c r="AM216">
        <v>-833</v>
      </c>
      <c r="AN216">
        <v>0</v>
      </c>
      <c r="AP216">
        <v>2151.4428661745201</v>
      </c>
      <c r="AQ216">
        <v>20210</v>
      </c>
      <c r="AR216">
        <v>12350</v>
      </c>
      <c r="AS216">
        <v>10835</v>
      </c>
      <c r="AT216">
        <v>-3444</v>
      </c>
      <c r="AU216">
        <v>-274.47288382645598</v>
      </c>
      <c r="AV216">
        <v>-75.8672270150401</v>
      </c>
      <c r="AW216">
        <v>8801.2278607385106</v>
      </c>
      <c r="AX216">
        <v>52</v>
      </c>
      <c r="AY216">
        <v>0</v>
      </c>
      <c r="AZ216">
        <v>0</v>
      </c>
      <c r="BA216">
        <v>6015.3918422435099</v>
      </c>
      <c r="BB216">
        <v>15974</v>
      </c>
      <c r="BC216">
        <v>4864</v>
      </c>
      <c r="BE216">
        <f t="shared" si="6"/>
        <v>282621.08802903921</v>
      </c>
      <c r="BF216">
        <f t="shared" si="7"/>
        <v>47805067.052084938</v>
      </c>
    </row>
    <row r="217" spans="1:58" x14ac:dyDescent="0.2">
      <c r="A217" s="1">
        <v>45489</v>
      </c>
      <c r="B217">
        <v>-368.258046945687</v>
      </c>
      <c r="C217">
        <v>-3416</v>
      </c>
      <c r="D217">
        <v>-10346</v>
      </c>
      <c r="E217">
        <v>929.61128886036101</v>
      </c>
      <c r="F217">
        <v>2547.46585409207</v>
      </c>
      <c r="G217">
        <v>1032.00000000003</v>
      </c>
      <c r="H217">
        <v>-1783.9864439999999</v>
      </c>
      <c r="I217">
        <v>780</v>
      </c>
      <c r="J217">
        <v>-5814.9596345370901</v>
      </c>
      <c r="K217">
        <v>-3788.7538783963801</v>
      </c>
      <c r="L217">
        <v>-16962</v>
      </c>
      <c r="M217">
        <v>-5816.7100389830903</v>
      </c>
      <c r="N217">
        <v>7291.4183700000704</v>
      </c>
      <c r="O217">
        <v>-3772.99999999999</v>
      </c>
      <c r="P217">
        <v>-1424.0852639852901</v>
      </c>
      <c r="Q217">
        <v>3100</v>
      </c>
      <c r="R217">
        <v>-2040</v>
      </c>
      <c r="S217">
        <v>3190.5150564502201</v>
      </c>
      <c r="T217">
        <v>-10896</v>
      </c>
      <c r="U217">
        <v>2021</v>
      </c>
      <c r="V217">
        <v>-4150</v>
      </c>
      <c r="W217">
        <v>-57.733910523676698</v>
      </c>
      <c r="X217">
        <v>8911</v>
      </c>
      <c r="Y217">
        <v>19038</v>
      </c>
      <c r="Z217">
        <v>9218</v>
      </c>
      <c r="AA217">
        <v>-5654.8884588045503</v>
      </c>
      <c r="AC217">
        <v>-6212</v>
      </c>
      <c r="AD217">
        <v>54</v>
      </c>
      <c r="AE217">
        <v>-5252</v>
      </c>
      <c r="AF217">
        <v>-1368</v>
      </c>
      <c r="AG217">
        <v>-11802</v>
      </c>
      <c r="AH217">
        <v>-6208</v>
      </c>
      <c r="AI217">
        <v>12590.207792334701</v>
      </c>
      <c r="AJ217">
        <v>-3080</v>
      </c>
      <c r="AK217">
        <v>-15.014056940698101</v>
      </c>
      <c r="AL217">
        <v>-10019.2276935684</v>
      </c>
      <c r="AM217">
        <v>-114.194761990006</v>
      </c>
      <c r="AN217">
        <v>-9.2857861641838593</v>
      </c>
      <c r="AP217">
        <v>-1254.9690387317301</v>
      </c>
      <c r="AQ217">
        <v>-8084</v>
      </c>
      <c r="AR217">
        <v>-4446</v>
      </c>
      <c r="AS217">
        <v>-4105.7481101232297</v>
      </c>
      <c r="AT217">
        <v>-4920</v>
      </c>
      <c r="AU217">
        <v>-713.33286074751197</v>
      </c>
      <c r="AV217">
        <v>-25.284732006680201</v>
      </c>
      <c r="AW217">
        <v>-6125</v>
      </c>
      <c r="AX217">
        <v>-236</v>
      </c>
      <c r="AY217">
        <v>-507.61605674326802</v>
      </c>
      <c r="AZ217">
        <v>0</v>
      </c>
      <c r="BA217">
        <v>17148.059603780399</v>
      </c>
      <c r="BB217">
        <v>-3430</v>
      </c>
      <c r="BC217">
        <v>8064</v>
      </c>
      <c r="BE217">
        <f t="shared" si="6"/>
        <v>-58304.770807673631</v>
      </c>
      <c r="BF217">
        <f t="shared" si="7"/>
        <v>47746762.281277262</v>
      </c>
    </row>
    <row r="218" spans="1:58" x14ac:dyDescent="0.2">
      <c r="A218" s="1">
        <v>45490</v>
      </c>
      <c r="B218">
        <v>3866.7252628010601</v>
      </c>
      <c r="C218">
        <v>19154</v>
      </c>
      <c r="D218">
        <v>-798.79109236237002</v>
      </c>
      <c r="E218">
        <v>528</v>
      </c>
      <c r="F218">
        <v>-2687.6044442358002</v>
      </c>
      <c r="G218">
        <v>2580.00000000002</v>
      </c>
      <c r="H218">
        <v>-4533.00524567922</v>
      </c>
      <c r="I218">
        <v>2256</v>
      </c>
      <c r="J218">
        <v>-4462</v>
      </c>
      <c r="K218">
        <v>2550</v>
      </c>
      <c r="L218">
        <v>-4818</v>
      </c>
      <c r="M218">
        <v>489.77833724895498</v>
      </c>
      <c r="N218">
        <v>232.22064962082601</v>
      </c>
      <c r="O218">
        <v>4556.99999999999</v>
      </c>
      <c r="P218">
        <v>-256.15690205118398</v>
      </c>
      <c r="Q218">
        <v>-310</v>
      </c>
      <c r="R218">
        <v>7990</v>
      </c>
      <c r="S218">
        <v>-1320</v>
      </c>
      <c r="T218">
        <v>480</v>
      </c>
      <c r="U218">
        <v>1128</v>
      </c>
      <c r="V218">
        <v>700</v>
      </c>
      <c r="W218">
        <v>-1092</v>
      </c>
      <c r="X218">
        <v>247</v>
      </c>
      <c r="Y218">
        <v>-6251</v>
      </c>
      <c r="Z218">
        <v>-2933</v>
      </c>
      <c r="AA218">
        <v>1252.49999999998</v>
      </c>
      <c r="AC218">
        <v>-5180</v>
      </c>
      <c r="AD218">
        <v>180</v>
      </c>
      <c r="AE218">
        <v>1352</v>
      </c>
      <c r="AF218">
        <v>-104</v>
      </c>
      <c r="AG218">
        <v>-9877.1754803221302</v>
      </c>
      <c r="AH218">
        <v>2616.4773463290699</v>
      </c>
      <c r="AI218">
        <v>8670.2324812910902</v>
      </c>
      <c r="AJ218">
        <v>-112</v>
      </c>
      <c r="AK218">
        <v>-388.207904389644</v>
      </c>
      <c r="AL218">
        <v>2808</v>
      </c>
      <c r="AM218">
        <v>-254.241469663521</v>
      </c>
      <c r="AN218">
        <v>-379.26769855758897</v>
      </c>
      <c r="AP218">
        <v>6351.4635288217196</v>
      </c>
      <c r="AQ218">
        <v>-9976</v>
      </c>
      <c r="AR218">
        <v>-10621</v>
      </c>
      <c r="AS218">
        <v>-1200</v>
      </c>
      <c r="AT218">
        <v>2952</v>
      </c>
      <c r="AU218">
        <v>119.928713434584</v>
      </c>
      <c r="AV218">
        <v>-25.2815882478458</v>
      </c>
      <c r="AW218">
        <v>-1227.6626406903599</v>
      </c>
      <c r="AX218">
        <v>3508</v>
      </c>
      <c r="AY218">
        <v>0</v>
      </c>
      <c r="AZ218">
        <v>-3633.6922999999802</v>
      </c>
      <c r="BA218">
        <v>-29452.3005422311</v>
      </c>
      <c r="BB218">
        <v>4214</v>
      </c>
      <c r="BC218">
        <v>-1024</v>
      </c>
      <c r="BE218">
        <f t="shared" si="6"/>
        <v>-22133.060988883452</v>
      </c>
      <c r="BF218">
        <f t="shared" si="7"/>
        <v>47724629.220288381</v>
      </c>
    </row>
    <row r="219" spans="1:58" x14ac:dyDescent="0.2">
      <c r="A219" s="1">
        <v>45491</v>
      </c>
      <c r="B219">
        <v>-10722.375702040699</v>
      </c>
      <c r="C219">
        <v>-25132</v>
      </c>
      <c r="D219">
        <v>-3532.0845899303099</v>
      </c>
      <c r="E219">
        <v>-477.42666882133102</v>
      </c>
      <c r="F219">
        <v>-1265.0469121682399</v>
      </c>
      <c r="G219">
        <v>-860.00000000005798</v>
      </c>
      <c r="H219">
        <v>-3895.7919389999902</v>
      </c>
      <c r="I219">
        <v>-424</v>
      </c>
      <c r="J219">
        <v>-8740</v>
      </c>
      <c r="K219">
        <v>-5542</v>
      </c>
      <c r="L219">
        <v>-13235.888344520899</v>
      </c>
      <c r="M219">
        <v>-82.529503590037805</v>
      </c>
      <c r="N219">
        <v>-2719.0979200000902</v>
      </c>
      <c r="O219">
        <v>245.000000000038</v>
      </c>
      <c r="P219">
        <v>-5008.1286091975599</v>
      </c>
      <c r="Q219">
        <v>-4960</v>
      </c>
      <c r="R219">
        <v>-3410.3678837225898</v>
      </c>
      <c r="S219">
        <v>-1188</v>
      </c>
      <c r="T219">
        <v>-9432</v>
      </c>
      <c r="U219">
        <v>-6627</v>
      </c>
      <c r="V219">
        <v>-6200</v>
      </c>
      <c r="W219">
        <v>-469</v>
      </c>
      <c r="X219">
        <v>-12103</v>
      </c>
      <c r="Y219">
        <v>-7847</v>
      </c>
      <c r="Z219">
        <v>-15922</v>
      </c>
      <c r="AA219">
        <v>-9412.5</v>
      </c>
      <c r="AC219">
        <v>-11372</v>
      </c>
      <c r="AD219">
        <v>240</v>
      </c>
      <c r="AE219">
        <v>-4784</v>
      </c>
      <c r="AF219">
        <v>-32</v>
      </c>
      <c r="AG219">
        <v>-2078</v>
      </c>
      <c r="AH219">
        <v>-6720</v>
      </c>
      <c r="AI219">
        <v>-33619.961898760397</v>
      </c>
      <c r="AJ219">
        <v>-2072</v>
      </c>
      <c r="AK219">
        <v>-1589.0832</v>
      </c>
      <c r="AL219">
        <v>-2808</v>
      </c>
      <c r="AM219">
        <v>-1624</v>
      </c>
      <c r="AN219">
        <v>-1776.6557477556901</v>
      </c>
      <c r="AP219">
        <v>-5513.6772165709599</v>
      </c>
      <c r="AQ219">
        <v>-4902</v>
      </c>
      <c r="AR219">
        <v>988</v>
      </c>
      <c r="AS219">
        <v>-11436</v>
      </c>
      <c r="AT219">
        <v>-14268</v>
      </c>
      <c r="AU219">
        <v>1503</v>
      </c>
      <c r="AV219">
        <v>-75.803606968635293</v>
      </c>
      <c r="AW219">
        <v>-11961.3579543581</v>
      </c>
      <c r="AX219">
        <v>-1412</v>
      </c>
      <c r="AY219">
        <v>0</v>
      </c>
      <c r="AZ219">
        <v>-1629.1345866440899</v>
      </c>
      <c r="BA219">
        <v>1628.21541296539</v>
      </c>
      <c r="BB219">
        <v>-12348</v>
      </c>
      <c r="BC219">
        <v>-8576</v>
      </c>
      <c r="BE219">
        <f t="shared" si="6"/>
        <v>-295200.69687108422</v>
      </c>
      <c r="BF219">
        <f t="shared" si="7"/>
        <v>47429428.523417294</v>
      </c>
    </row>
    <row r="220" spans="1:58" x14ac:dyDescent="0.2">
      <c r="A220" s="1">
        <v>45492</v>
      </c>
      <c r="B220">
        <v>-4301</v>
      </c>
      <c r="C220">
        <v>5856</v>
      </c>
      <c r="D220">
        <v>-9424.0237769578507</v>
      </c>
      <c r="E220">
        <v>-2106</v>
      </c>
      <c r="F220">
        <v>-738.85558520466998</v>
      </c>
      <c r="G220">
        <v>3010.00000000008</v>
      </c>
      <c r="H220">
        <v>-7179.5079299999898</v>
      </c>
      <c r="I220">
        <v>2328</v>
      </c>
      <c r="J220">
        <v>4554</v>
      </c>
      <c r="K220">
        <v>-3315</v>
      </c>
      <c r="L220">
        <v>-5867.5833851240996</v>
      </c>
      <c r="M220">
        <v>4775.7089545890603</v>
      </c>
      <c r="N220">
        <v>-14795.1197843011</v>
      </c>
      <c r="O220">
        <v>538.99999999996203</v>
      </c>
      <c r="P220">
        <v>-2668</v>
      </c>
      <c r="Q220">
        <v>-12090</v>
      </c>
      <c r="R220">
        <v>-11141.225141414399</v>
      </c>
      <c r="S220">
        <v>-660</v>
      </c>
      <c r="T220">
        <v>-9688</v>
      </c>
      <c r="U220">
        <v>-7191</v>
      </c>
      <c r="V220">
        <v>-1950</v>
      </c>
      <c r="W220">
        <v>-1267</v>
      </c>
      <c r="X220">
        <v>-3344</v>
      </c>
      <c r="Y220">
        <v>-16796</v>
      </c>
      <c r="Z220">
        <v>-9637</v>
      </c>
      <c r="AA220">
        <v>-2835.00000000001</v>
      </c>
      <c r="AC220">
        <v>-7284</v>
      </c>
      <c r="AD220">
        <v>5472</v>
      </c>
      <c r="AE220">
        <v>-312</v>
      </c>
      <c r="AF220">
        <v>-376</v>
      </c>
      <c r="AG220">
        <v>4438</v>
      </c>
      <c r="AH220">
        <v>-8294.4531333240102</v>
      </c>
      <c r="AI220">
        <v>-6705.28685701615</v>
      </c>
      <c r="AJ220">
        <v>-1064</v>
      </c>
      <c r="AK220">
        <v>-1101.0899999999999</v>
      </c>
      <c r="AL220">
        <v>216</v>
      </c>
      <c r="AM220">
        <v>-296</v>
      </c>
      <c r="AN220">
        <v>-380</v>
      </c>
      <c r="AP220">
        <v>8246</v>
      </c>
      <c r="AQ220">
        <v>-10670.4237837255</v>
      </c>
      <c r="AR220">
        <v>0</v>
      </c>
      <c r="AS220">
        <v>-5724</v>
      </c>
      <c r="AT220">
        <v>-2393.5720971783999</v>
      </c>
      <c r="AU220">
        <v>-139.59127078262401</v>
      </c>
      <c r="AV220">
        <v>0</v>
      </c>
      <c r="AW220">
        <v>-14824.302449678</v>
      </c>
      <c r="AX220">
        <v>2136</v>
      </c>
      <c r="AY220">
        <v>6719.4972000002799</v>
      </c>
      <c r="AZ220">
        <v>1715.08884147822</v>
      </c>
      <c r="BA220">
        <v>6609.4121997320299</v>
      </c>
      <c r="BB220">
        <v>-9800</v>
      </c>
      <c r="BC220">
        <v>3200</v>
      </c>
      <c r="BE220">
        <f t="shared" si="6"/>
        <v>-136544.32799890719</v>
      </c>
      <c r="BF220">
        <f t="shared" si="7"/>
        <v>47292884.195418388</v>
      </c>
    </row>
    <row r="221" spans="1:58" x14ac:dyDescent="0.2">
      <c r="A221" s="1">
        <v>45495</v>
      </c>
      <c r="B221">
        <v>-9299</v>
      </c>
      <c r="C221">
        <v>-13054</v>
      </c>
      <c r="D221">
        <v>6801.8514038729199</v>
      </c>
      <c r="E221">
        <v>-234</v>
      </c>
      <c r="F221">
        <v>-848.42369818165901</v>
      </c>
      <c r="G221">
        <v>-1376</v>
      </c>
      <c r="H221">
        <v>10364.323832</v>
      </c>
      <c r="I221">
        <v>-1468</v>
      </c>
      <c r="J221">
        <v>-1426</v>
      </c>
      <c r="K221">
        <v>-1811.16637889661</v>
      </c>
      <c r="L221">
        <v>-148.688208690979</v>
      </c>
      <c r="M221">
        <v>1120.5999999999799</v>
      </c>
      <c r="N221">
        <v>-11914.681673520299</v>
      </c>
      <c r="O221">
        <v>-98.000000000032699</v>
      </c>
      <c r="P221">
        <v>174</v>
      </c>
      <c r="Q221">
        <v>-3100</v>
      </c>
      <c r="R221">
        <v>-10736</v>
      </c>
      <c r="S221">
        <v>-5016</v>
      </c>
      <c r="T221">
        <v>7348.2853938103599</v>
      </c>
      <c r="U221">
        <v>1034</v>
      </c>
      <c r="V221">
        <v>-500</v>
      </c>
      <c r="W221">
        <v>-1750</v>
      </c>
      <c r="X221">
        <v>1881</v>
      </c>
      <c r="Y221">
        <v>-4123</v>
      </c>
      <c r="Z221">
        <v>-1721.97524609014</v>
      </c>
      <c r="AA221">
        <v>-554.99999999997203</v>
      </c>
      <c r="AC221">
        <v>-7104</v>
      </c>
      <c r="AD221">
        <v>-7698</v>
      </c>
      <c r="AE221">
        <v>-11232</v>
      </c>
      <c r="AF221">
        <v>971.83656737463798</v>
      </c>
      <c r="AG221">
        <v>-1682</v>
      </c>
      <c r="AH221">
        <v>13149.9970335873</v>
      </c>
      <c r="AI221">
        <v>-7546.75889582318</v>
      </c>
      <c r="AJ221">
        <v>-5378.8914716667396</v>
      </c>
      <c r="AK221">
        <v>308.07209999999998</v>
      </c>
      <c r="AL221">
        <v>-4975.7520911477304</v>
      </c>
      <c r="AM221">
        <v>-1460</v>
      </c>
      <c r="AN221">
        <v>-1760</v>
      </c>
      <c r="AP221">
        <v>-3069.0903981727201</v>
      </c>
      <c r="AQ221">
        <v>-10942.4535303502</v>
      </c>
      <c r="AR221">
        <v>-12103</v>
      </c>
      <c r="AS221">
        <v>-8112</v>
      </c>
      <c r="AT221">
        <v>150.47584124149199</v>
      </c>
      <c r="AU221">
        <v>-4510</v>
      </c>
      <c r="AV221">
        <v>3437.69904202717</v>
      </c>
      <c r="AW221">
        <v>-2276.2696842971</v>
      </c>
      <c r="AX221">
        <v>-1956</v>
      </c>
      <c r="AY221">
        <v>4781.4945600001502</v>
      </c>
      <c r="AZ221">
        <v>-217.94629999999799</v>
      </c>
      <c r="BA221">
        <v>-4038.0521400002499</v>
      </c>
      <c r="BB221">
        <v>2737.1404964702301</v>
      </c>
      <c r="BC221">
        <v>3584</v>
      </c>
      <c r="BE221">
        <f t="shared" si="6"/>
        <v>-107397.37344645338</v>
      </c>
      <c r="BF221">
        <f t="shared" si="7"/>
        <v>47185486.821971931</v>
      </c>
    </row>
    <row r="222" spans="1:58" x14ac:dyDescent="0.2">
      <c r="A222" s="1">
        <v>45496</v>
      </c>
      <c r="B222">
        <v>1324.55341656627</v>
      </c>
      <c r="C222">
        <v>-389.755673369899</v>
      </c>
      <c r="D222">
        <v>1096</v>
      </c>
      <c r="E222">
        <v>868.084345663465</v>
      </c>
      <c r="F222">
        <v>1787.57315399155</v>
      </c>
      <c r="G222">
        <v>4514.99999999994</v>
      </c>
      <c r="H222">
        <v>7023.19312299999</v>
      </c>
      <c r="I222">
        <v>4352</v>
      </c>
      <c r="J222">
        <v>-5428</v>
      </c>
      <c r="K222">
        <v>214.35328697396</v>
      </c>
      <c r="L222">
        <v>-5752.9050832532002</v>
      </c>
      <c r="M222">
        <v>332.80000000000399</v>
      </c>
      <c r="N222">
        <v>7150.6157439898097</v>
      </c>
      <c r="O222">
        <v>4900.00000000007</v>
      </c>
      <c r="P222">
        <v>-4350</v>
      </c>
      <c r="Q222">
        <v>-2480</v>
      </c>
      <c r="R222">
        <v>-3696</v>
      </c>
      <c r="S222">
        <v>1372.33174605564</v>
      </c>
      <c r="T222">
        <v>-1323</v>
      </c>
      <c r="U222">
        <v>2820</v>
      </c>
      <c r="V222">
        <v>-850</v>
      </c>
      <c r="W222">
        <v>1393</v>
      </c>
      <c r="X222">
        <v>1349</v>
      </c>
      <c r="Y222">
        <v>-2318</v>
      </c>
      <c r="Z222">
        <v>-5299.1280975897198</v>
      </c>
      <c r="AA222">
        <v>-1612.5</v>
      </c>
      <c r="AC222">
        <v>674.36066178422095</v>
      </c>
      <c r="AD222">
        <v>198</v>
      </c>
      <c r="AE222">
        <v>-5199.9269935330203</v>
      </c>
      <c r="AF222">
        <v>217</v>
      </c>
      <c r="AG222">
        <v>-2318</v>
      </c>
      <c r="AH222">
        <v>-2318</v>
      </c>
      <c r="AI222">
        <v>18117.754717348002</v>
      </c>
      <c r="AJ222">
        <v>47.639077868229897</v>
      </c>
      <c r="AK222">
        <v>-1188.2781</v>
      </c>
      <c r="AL222">
        <v>6160</v>
      </c>
      <c r="AM222">
        <v>464</v>
      </c>
      <c r="AN222">
        <v>310</v>
      </c>
      <c r="AP222">
        <v>-11679.325850793601</v>
      </c>
      <c r="AQ222">
        <v>-1565.6305559512</v>
      </c>
      <c r="AR222">
        <v>6155.9293205656904</v>
      </c>
      <c r="AS222">
        <v>1272</v>
      </c>
      <c r="AT222">
        <v>163.46873447899799</v>
      </c>
      <c r="AU222">
        <v>484</v>
      </c>
      <c r="AV222">
        <v>-486.02854768621501</v>
      </c>
      <c r="AW222">
        <v>-3964.6269028022498</v>
      </c>
      <c r="AX222">
        <v>3560</v>
      </c>
      <c r="AY222">
        <v>-2033.4214405257901</v>
      </c>
      <c r="AZ222">
        <v>574.58570000000202</v>
      </c>
      <c r="BA222">
        <v>-3692.9868181321399</v>
      </c>
      <c r="BB222">
        <v>-3363.4210173623501</v>
      </c>
      <c r="BC222">
        <v>2944</v>
      </c>
      <c r="BE222">
        <f t="shared" si="6"/>
        <v>10532.307947286452</v>
      </c>
      <c r="BF222">
        <f t="shared" si="7"/>
        <v>47196019.129919216</v>
      </c>
    </row>
    <row r="223" spans="1:58" x14ac:dyDescent="0.2">
      <c r="A223" s="1">
        <v>45497</v>
      </c>
      <c r="B223">
        <v>-11298.5535105708</v>
      </c>
      <c r="C223">
        <v>-2478</v>
      </c>
      <c r="D223">
        <v>-1644</v>
      </c>
      <c r="E223">
        <v>-1302.98405347992</v>
      </c>
      <c r="F223">
        <v>-4570.2549121936399</v>
      </c>
      <c r="G223">
        <v>3224.99999999996</v>
      </c>
      <c r="H223">
        <v>-11082.200643</v>
      </c>
      <c r="I223">
        <v>2456</v>
      </c>
      <c r="J223">
        <v>-7268</v>
      </c>
      <c r="K223">
        <v>-3223.99476757804</v>
      </c>
      <c r="L223">
        <v>-8096.7904711770598</v>
      </c>
      <c r="M223">
        <v>107.448233507845</v>
      </c>
      <c r="N223">
        <v>3370.7712000000402</v>
      </c>
      <c r="O223">
        <v>4455.3234310564803</v>
      </c>
      <c r="P223">
        <v>-3074</v>
      </c>
      <c r="Q223">
        <v>0</v>
      </c>
      <c r="R223">
        <v>860.79907110138902</v>
      </c>
      <c r="S223">
        <v>-1165.0464813237299</v>
      </c>
      <c r="T223">
        <v>-301</v>
      </c>
      <c r="U223">
        <v>3431</v>
      </c>
      <c r="V223">
        <v>-2525</v>
      </c>
      <c r="W223">
        <v>-322</v>
      </c>
      <c r="X223">
        <v>-4902</v>
      </c>
      <c r="Y223">
        <v>2615.6773117964699</v>
      </c>
      <c r="Z223">
        <v>-17242.393615844299</v>
      </c>
      <c r="AA223">
        <v>-3779.99999999997</v>
      </c>
      <c r="AC223">
        <v>3900</v>
      </c>
      <c r="AD223">
        <v>-570</v>
      </c>
      <c r="AE223">
        <v>4044.4864294615199</v>
      </c>
      <c r="AF223">
        <v>413</v>
      </c>
      <c r="AG223">
        <v>-1483.57672110307</v>
      </c>
      <c r="AH223">
        <v>305</v>
      </c>
      <c r="AI223">
        <v>-5810.8492123911301</v>
      </c>
      <c r="AJ223">
        <v>442.54170330119399</v>
      </c>
      <c r="AK223">
        <v>-1404.4880000000001</v>
      </c>
      <c r="AL223">
        <v>1532.2367516004799</v>
      </c>
      <c r="AM223">
        <v>-1000</v>
      </c>
      <c r="AN223">
        <v>-1255</v>
      </c>
      <c r="AP223">
        <v>282</v>
      </c>
      <c r="AQ223">
        <v>-5736.6176306970901</v>
      </c>
      <c r="AR223">
        <v>1912</v>
      </c>
      <c r="AS223">
        <v>-9013.1175857630096</v>
      </c>
      <c r="AT223">
        <v>2483</v>
      </c>
      <c r="AU223">
        <v>-1100</v>
      </c>
      <c r="AV223">
        <v>3776.7472007964898</v>
      </c>
      <c r="AW223">
        <v>2216.9155382475201</v>
      </c>
      <c r="AX223">
        <v>2556</v>
      </c>
      <c r="AY223">
        <v>-479.17903468025099</v>
      </c>
      <c r="AZ223">
        <v>-1621.5368799999901</v>
      </c>
      <c r="BA223">
        <v>-30105.702000000001</v>
      </c>
      <c r="BB223">
        <v>-1720.23300009371</v>
      </c>
      <c r="BC223">
        <v>3456</v>
      </c>
      <c r="BE223">
        <f t="shared" si="6"/>
        <v>-97734.571649026329</v>
      </c>
      <c r="BF223">
        <f t="shared" si="7"/>
        <v>47098284.558270186</v>
      </c>
    </row>
    <row r="224" spans="1:58" x14ac:dyDescent="0.2">
      <c r="A224" s="1">
        <v>45498</v>
      </c>
      <c r="B224">
        <v>-1570.65008523099</v>
      </c>
      <c r="C224">
        <v>7670</v>
      </c>
      <c r="D224">
        <v>-2192</v>
      </c>
      <c r="E224">
        <v>-2102.6822391358601</v>
      </c>
      <c r="F224">
        <v>2040</v>
      </c>
      <c r="G224">
        <v>385.84658021713199</v>
      </c>
      <c r="H224">
        <v>-3321.0464419999998</v>
      </c>
      <c r="I224">
        <v>920</v>
      </c>
      <c r="J224">
        <v>-3128</v>
      </c>
      <c r="K224">
        <v>-5235.5169503747602</v>
      </c>
      <c r="L224">
        <v>2217.2076305628402</v>
      </c>
      <c r="M224">
        <v>4900.7230476023897</v>
      </c>
      <c r="N224">
        <v>-15478.1126999999</v>
      </c>
      <c r="O224">
        <v>2506.81073161429</v>
      </c>
      <c r="P224">
        <v>1276</v>
      </c>
      <c r="Q224">
        <v>-930</v>
      </c>
      <c r="R224">
        <v>5040</v>
      </c>
      <c r="S224">
        <v>944.62163230589101</v>
      </c>
      <c r="T224">
        <v>-1337</v>
      </c>
      <c r="U224">
        <v>2303</v>
      </c>
      <c r="V224">
        <v>1550</v>
      </c>
      <c r="W224">
        <v>-1022</v>
      </c>
      <c r="X224">
        <v>-2318</v>
      </c>
      <c r="Y224">
        <v>3132</v>
      </c>
      <c r="Z224">
        <v>-13323.0592711435</v>
      </c>
      <c r="AA224">
        <v>2332.49999999995</v>
      </c>
      <c r="AC224">
        <v>-2400</v>
      </c>
      <c r="AD224">
        <v>8070</v>
      </c>
      <c r="AE224">
        <v>210.21333897647901</v>
      </c>
      <c r="AF224">
        <v>-21</v>
      </c>
      <c r="AG224">
        <v>2902</v>
      </c>
      <c r="AH224">
        <v>-1891</v>
      </c>
      <c r="AI224">
        <v>1740</v>
      </c>
      <c r="AJ224">
        <v>-78</v>
      </c>
      <c r="AK224">
        <v>203.191479301421</v>
      </c>
      <c r="AL224">
        <v>1432.71128293535</v>
      </c>
      <c r="AM224">
        <v>-264</v>
      </c>
      <c r="AN224">
        <v>-530</v>
      </c>
      <c r="AP224">
        <v>423</v>
      </c>
      <c r="AQ224">
        <v>-3910.0279304914102</v>
      </c>
      <c r="AR224">
        <v>2868</v>
      </c>
      <c r="AS224">
        <v>7509.8438336095896</v>
      </c>
      <c r="AT224">
        <v>2674</v>
      </c>
      <c r="AU224">
        <v>550</v>
      </c>
      <c r="AV224">
        <v>1620.6919570790401</v>
      </c>
      <c r="AW224">
        <v>-163.65959373879201</v>
      </c>
      <c r="AX224">
        <v>844</v>
      </c>
      <c r="AY224">
        <v>0</v>
      </c>
      <c r="AZ224">
        <v>-815.68663362928896</v>
      </c>
      <c r="BA224">
        <v>-6594.39763980103</v>
      </c>
      <c r="BB224">
        <v>-7268</v>
      </c>
      <c r="BC224">
        <v>2432</v>
      </c>
      <c r="BE224">
        <f t="shared" si="6"/>
        <v>-5195.477971341159</v>
      </c>
      <c r="BF224">
        <f t="shared" si="7"/>
        <v>47093089.080298848</v>
      </c>
    </row>
    <row r="225" spans="1:58" x14ac:dyDescent="0.2">
      <c r="A225" s="1">
        <v>45499</v>
      </c>
      <c r="B225">
        <v>18657.7311220669</v>
      </c>
      <c r="C225">
        <v>23364</v>
      </c>
      <c r="D225">
        <v>13700</v>
      </c>
      <c r="E225">
        <v>-27.2083533260741</v>
      </c>
      <c r="F225">
        <v>7599</v>
      </c>
      <c r="G225">
        <v>-4582.8750920137099</v>
      </c>
      <c r="H225">
        <v>4250.00694539907</v>
      </c>
      <c r="I225">
        <v>-2892</v>
      </c>
      <c r="J225">
        <v>14352</v>
      </c>
      <c r="K225">
        <v>3110.50058218098</v>
      </c>
      <c r="L225">
        <v>2661.0670484381599</v>
      </c>
      <c r="M225">
        <v>-3673.1703205772701</v>
      </c>
      <c r="N225">
        <v>4608.9065866524998</v>
      </c>
      <c r="O225">
        <v>-5643.0979579439099</v>
      </c>
      <c r="P225">
        <v>8468</v>
      </c>
      <c r="Q225">
        <v>10850</v>
      </c>
      <c r="R225">
        <v>7896</v>
      </c>
      <c r="S225">
        <v>-1215</v>
      </c>
      <c r="T225">
        <v>5957</v>
      </c>
      <c r="U225">
        <v>-987</v>
      </c>
      <c r="V225">
        <v>6200</v>
      </c>
      <c r="W225">
        <v>-2254</v>
      </c>
      <c r="X225">
        <v>17423</v>
      </c>
      <c r="Y225">
        <v>16038</v>
      </c>
      <c r="Z225">
        <v>38512.333795254002</v>
      </c>
      <c r="AA225">
        <v>9614.99999999998</v>
      </c>
      <c r="AC225">
        <v>8700</v>
      </c>
      <c r="AD225">
        <v>-7950</v>
      </c>
      <c r="AE225">
        <v>2024.2080640760701</v>
      </c>
      <c r="AF225">
        <v>2814</v>
      </c>
      <c r="AG225">
        <v>1790</v>
      </c>
      <c r="AH225">
        <v>2623</v>
      </c>
      <c r="AI225">
        <v>27492</v>
      </c>
      <c r="AJ225">
        <v>2701.1631860450102</v>
      </c>
      <c r="AK225">
        <v>1391.15002109591</v>
      </c>
      <c r="AL225">
        <v>23222.161089201702</v>
      </c>
      <c r="AM225">
        <v>1640</v>
      </c>
      <c r="AN225">
        <v>2345</v>
      </c>
      <c r="AP225">
        <v>21291</v>
      </c>
      <c r="AQ225">
        <v>10113.0917808168</v>
      </c>
      <c r="AR225">
        <v>30114</v>
      </c>
      <c r="AS225">
        <v>8600</v>
      </c>
      <c r="AT225">
        <v>8977</v>
      </c>
      <c r="AU225">
        <v>-130.16808855828299</v>
      </c>
      <c r="AV225">
        <v>-1270.0034309345799</v>
      </c>
      <c r="AW225">
        <v>10397.319223529301</v>
      </c>
      <c r="AX225">
        <v>-2602.4245786297902</v>
      </c>
      <c r="AY225">
        <v>0</v>
      </c>
      <c r="AZ225">
        <v>124.44733327594599</v>
      </c>
      <c r="BA225">
        <v>5210.6416142489998</v>
      </c>
      <c r="BB225">
        <v>15169.737929479799</v>
      </c>
      <c r="BC225">
        <v>7788.1338789041001</v>
      </c>
      <c r="BE225">
        <f t="shared" si="6"/>
        <v>374563.65237868158</v>
      </c>
      <c r="BF225">
        <f t="shared" si="7"/>
        <v>47467652.732677527</v>
      </c>
    </row>
    <row r="226" spans="1:58" x14ac:dyDescent="0.2">
      <c r="A226" s="1">
        <v>45502</v>
      </c>
      <c r="B226">
        <v>14660</v>
      </c>
      <c r="C226">
        <v>18644</v>
      </c>
      <c r="D226">
        <v>7124</v>
      </c>
      <c r="E226">
        <v>-3118.4917701214599</v>
      </c>
      <c r="F226">
        <v>4477.1689836860596</v>
      </c>
      <c r="G226">
        <v>5549.99999999994</v>
      </c>
      <c r="H226">
        <v>-6950.0407319999904</v>
      </c>
      <c r="I226">
        <v>4364</v>
      </c>
      <c r="J226">
        <v>11914</v>
      </c>
      <c r="K226">
        <v>2485</v>
      </c>
      <c r="L226">
        <v>6494</v>
      </c>
      <c r="M226">
        <v>3428.1999999999798</v>
      </c>
      <c r="N226">
        <v>-462.05100000000698</v>
      </c>
      <c r="O226">
        <v>4574.99999999999</v>
      </c>
      <c r="P226">
        <v>6844</v>
      </c>
      <c r="Q226">
        <v>4340</v>
      </c>
      <c r="R226">
        <v>11424</v>
      </c>
      <c r="S226">
        <v>2792.8526462754398</v>
      </c>
      <c r="T226">
        <v>6566</v>
      </c>
      <c r="U226">
        <v>9071</v>
      </c>
      <c r="V226">
        <v>6500</v>
      </c>
      <c r="W226">
        <v>3038</v>
      </c>
      <c r="X226">
        <v>15409</v>
      </c>
      <c r="Y226">
        <v>9090</v>
      </c>
      <c r="Z226">
        <v>24488.999121425401</v>
      </c>
      <c r="AA226">
        <v>9472.5000000000091</v>
      </c>
      <c r="AC226">
        <v>11010</v>
      </c>
      <c r="AD226">
        <v>1830</v>
      </c>
      <c r="AE226">
        <v>5270</v>
      </c>
      <c r="AF226">
        <v>3104.3358390140602</v>
      </c>
      <c r="AG226">
        <v>1750</v>
      </c>
      <c r="AH226">
        <v>6832</v>
      </c>
      <c r="AI226">
        <v>11307.1194537419</v>
      </c>
      <c r="AJ226">
        <v>1900</v>
      </c>
      <c r="AK226">
        <v>0</v>
      </c>
      <c r="AL226">
        <v>16244</v>
      </c>
      <c r="AM226">
        <v>2544</v>
      </c>
      <c r="AN226">
        <v>3095</v>
      </c>
      <c r="AP226">
        <v>25803</v>
      </c>
      <c r="AQ226">
        <v>12027</v>
      </c>
      <c r="AR226">
        <v>14818</v>
      </c>
      <c r="AS226">
        <v>7410</v>
      </c>
      <c r="AT226">
        <v>-191</v>
      </c>
      <c r="AU226">
        <v>-115.02041527129001</v>
      </c>
      <c r="AV226">
        <v>2069.7478495357</v>
      </c>
      <c r="AW226">
        <v>8268</v>
      </c>
      <c r="AX226">
        <v>3265</v>
      </c>
      <c r="AY226">
        <v>0</v>
      </c>
      <c r="AZ226">
        <v>0</v>
      </c>
      <c r="BA226">
        <v>-1900.3332600001099</v>
      </c>
      <c r="BB226">
        <v>11214</v>
      </c>
      <c r="BC226">
        <v>23415.893498630499</v>
      </c>
      <c r="BE226">
        <f t="shared" si="6"/>
        <v>353191.88021491613</v>
      </c>
      <c r="BF226">
        <f t="shared" si="7"/>
        <v>47820844.612892441</v>
      </c>
    </row>
    <row r="227" spans="1:58" x14ac:dyDescent="0.2">
      <c r="A227" s="1">
        <v>45503</v>
      </c>
      <c r="B227">
        <v>-2340</v>
      </c>
      <c r="C227">
        <v>-7434</v>
      </c>
      <c r="D227">
        <v>-10465.253232131799</v>
      </c>
      <c r="E227">
        <v>2863.1180831166298</v>
      </c>
      <c r="F227">
        <v>-565.62926863560403</v>
      </c>
      <c r="G227">
        <v>-3603.43248834316</v>
      </c>
      <c r="H227">
        <v>3444.5186720339598</v>
      </c>
      <c r="I227">
        <v>-2371.9666298228799</v>
      </c>
      <c r="J227">
        <v>-11546</v>
      </c>
      <c r="K227">
        <v>-1275</v>
      </c>
      <c r="L227">
        <v>-3009</v>
      </c>
      <c r="M227">
        <v>-2615.7648674433699</v>
      </c>
      <c r="N227">
        <v>635.56265292400099</v>
      </c>
      <c r="O227">
        <v>-5773.5447632627402</v>
      </c>
      <c r="P227">
        <v>-6034.2052438655101</v>
      </c>
      <c r="Q227">
        <v>-1240</v>
      </c>
      <c r="R227">
        <v>-6216</v>
      </c>
      <c r="S227">
        <v>-212.84472278276999</v>
      </c>
      <c r="T227">
        <v>-721</v>
      </c>
      <c r="U227">
        <v>-376</v>
      </c>
      <c r="V227">
        <v>-3675</v>
      </c>
      <c r="W227">
        <v>-203</v>
      </c>
      <c r="X227">
        <v>551</v>
      </c>
      <c r="Y227">
        <v>-3582</v>
      </c>
      <c r="Z227">
        <v>-7749</v>
      </c>
      <c r="AA227">
        <v>-5250</v>
      </c>
      <c r="AC227">
        <v>-5628</v>
      </c>
      <c r="AD227">
        <v>0</v>
      </c>
      <c r="AE227">
        <v>102</v>
      </c>
      <c r="AF227">
        <v>2544.40438769298</v>
      </c>
      <c r="AG227">
        <v>-1164</v>
      </c>
      <c r="AH227">
        <v>-1464</v>
      </c>
      <c r="AI227">
        <v>-17200</v>
      </c>
      <c r="AJ227">
        <v>-397.91883877000998</v>
      </c>
      <c r="AK227">
        <v>0</v>
      </c>
      <c r="AL227">
        <v>-772.081906661375</v>
      </c>
      <c r="AM227">
        <v>-1535.3694744645099</v>
      </c>
      <c r="AN227">
        <v>-1910</v>
      </c>
      <c r="AP227">
        <v>2397</v>
      </c>
      <c r="AQ227">
        <v>-2109</v>
      </c>
      <c r="AR227">
        <v>-12189</v>
      </c>
      <c r="AS227">
        <v>-3730</v>
      </c>
      <c r="AT227">
        <v>-2923.3891493785</v>
      </c>
      <c r="AU227">
        <v>-376.58942290107899</v>
      </c>
      <c r="AV227">
        <v>-6635.5408430423204</v>
      </c>
      <c r="AW227">
        <v>-4611</v>
      </c>
      <c r="AX227">
        <v>-2775</v>
      </c>
      <c r="AY227">
        <v>9578.7764799996403</v>
      </c>
      <c r="AZ227">
        <v>0</v>
      </c>
      <c r="BA227">
        <v>318.10577394294802</v>
      </c>
      <c r="BB227">
        <v>-10324</v>
      </c>
      <c r="BC227">
        <v>288</v>
      </c>
      <c r="BE227">
        <f t="shared" si="6"/>
        <v>-139281.04480179545</v>
      </c>
      <c r="BF227">
        <f t="shared" si="7"/>
        <v>47681563.568090647</v>
      </c>
    </row>
    <row r="228" spans="1:58" x14ac:dyDescent="0.2">
      <c r="A228" s="1">
        <v>45504</v>
      </c>
      <c r="B228">
        <v>-409.639403173559</v>
      </c>
      <c r="C228">
        <v>472</v>
      </c>
      <c r="D228">
        <v>-14625</v>
      </c>
      <c r="E228">
        <v>500</v>
      </c>
      <c r="F228">
        <v>-12066.268062200301</v>
      </c>
      <c r="G228">
        <v>2437.99999999996</v>
      </c>
      <c r="H228">
        <v>5844.0932479999901</v>
      </c>
      <c r="I228">
        <v>4295</v>
      </c>
      <c r="J228">
        <v>-7728</v>
      </c>
      <c r="K228">
        <v>15</v>
      </c>
      <c r="L228">
        <v>-1377</v>
      </c>
      <c r="M228">
        <v>-2877.2999999999802</v>
      </c>
      <c r="N228">
        <v>0</v>
      </c>
      <c r="O228">
        <v>9179.9999999998909</v>
      </c>
      <c r="P228">
        <v>-5292</v>
      </c>
      <c r="Q228">
        <v>3100</v>
      </c>
      <c r="R228">
        <v>1176</v>
      </c>
      <c r="S228">
        <v>1296.8236305328101</v>
      </c>
      <c r="T228">
        <v>4137</v>
      </c>
      <c r="U228">
        <v>-195.54265662377099</v>
      </c>
      <c r="V228">
        <v>250</v>
      </c>
      <c r="W228">
        <v>2331</v>
      </c>
      <c r="X228">
        <v>-1957</v>
      </c>
      <c r="Y228">
        <v>-4014</v>
      </c>
      <c r="Z228">
        <v>-4018</v>
      </c>
      <c r="AA228">
        <v>239.99999999998599</v>
      </c>
      <c r="AC228">
        <v>1956</v>
      </c>
      <c r="AD228">
        <v>0</v>
      </c>
      <c r="AE228">
        <v>-3230</v>
      </c>
      <c r="AF228">
        <v>-726.39303059107306</v>
      </c>
      <c r="AG228">
        <v>-2503</v>
      </c>
      <c r="AH228">
        <v>-559.80811676034705</v>
      </c>
      <c r="AI228">
        <v>-11197.457442157</v>
      </c>
      <c r="AJ228">
        <v>442.58811788881599</v>
      </c>
      <c r="AK228">
        <v>0</v>
      </c>
      <c r="AL228">
        <v>2210.9529679908801</v>
      </c>
      <c r="AM228">
        <v>1310</v>
      </c>
      <c r="AN228">
        <v>1430</v>
      </c>
      <c r="AP228">
        <v>-423</v>
      </c>
      <c r="AQ228">
        <v>-3819</v>
      </c>
      <c r="AR228">
        <v>6214</v>
      </c>
      <c r="AS228">
        <v>460</v>
      </c>
      <c r="AT228">
        <v>-7515.8776398535902</v>
      </c>
      <c r="AU228">
        <v>122.22841674904301</v>
      </c>
      <c r="AV228">
        <v>358</v>
      </c>
      <c r="AW228">
        <v>2862</v>
      </c>
      <c r="AX228">
        <v>4450</v>
      </c>
      <c r="AY228">
        <v>-234.21250545652899</v>
      </c>
      <c r="AZ228">
        <v>0</v>
      </c>
      <c r="BA228">
        <v>-15219.5180799999</v>
      </c>
      <c r="BB228">
        <v>4272</v>
      </c>
      <c r="BC228">
        <v>1440</v>
      </c>
      <c r="BE228">
        <f t="shared" si="6"/>
        <v>-37185.330555654669</v>
      </c>
      <c r="BF228">
        <f t="shared" si="7"/>
        <v>47644378.237534992</v>
      </c>
    </row>
    <row r="229" spans="1:58" x14ac:dyDescent="0.2">
      <c r="A229" s="1">
        <v>45505</v>
      </c>
      <c r="B229">
        <v>-1966.64142460521</v>
      </c>
      <c r="C229">
        <v>-4248</v>
      </c>
      <c r="D229">
        <v>4500.5019439318603</v>
      </c>
      <c r="E229">
        <v>980</v>
      </c>
      <c r="F229">
        <v>195</v>
      </c>
      <c r="G229">
        <v>5719.4125782309702</v>
      </c>
      <c r="H229">
        <v>-20121.800896000001</v>
      </c>
      <c r="I229">
        <v>4360</v>
      </c>
      <c r="J229">
        <v>-506</v>
      </c>
      <c r="K229">
        <v>-460</v>
      </c>
      <c r="L229">
        <v>1955</v>
      </c>
      <c r="M229">
        <v>-531.29999999998699</v>
      </c>
      <c r="N229">
        <v>0</v>
      </c>
      <c r="O229">
        <v>1006.37883097465</v>
      </c>
      <c r="P229">
        <v>126</v>
      </c>
      <c r="Q229">
        <v>-4340</v>
      </c>
      <c r="R229">
        <v>-5712</v>
      </c>
      <c r="S229">
        <v>-1592.21404799485</v>
      </c>
      <c r="T229">
        <v>2492</v>
      </c>
      <c r="U229">
        <v>1042.46121536277</v>
      </c>
      <c r="V229">
        <v>1350</v>
      </c>
      <c r="W229">
        <v>-112</v>
      </c>
      <c r="X229">
        <v>11286</v>
      </c>
      <c r="Y229">
        <v>1386</v>
      </c>
      <c r="Z229">
        <v>-1449.57342838615</v>
      </c>
      <c r="AA229">
        <v>2152.50000000005</v>
      </c>
      <c r="AC229">
        <v>1374</v>
      </c>
      <c r="AD229">
        <v>-216</v>
      </c>
      <c r="AE229">
        <v>816</v>
      </c>
      <c r="AF229">
        <v>-722.79796272185604</v>
      </c>
      <c r="AG229">
        <v>-2103</v>
      </c>
      <c r="AH229">
        <v>-132.70131625923</v>
      </c>
      <c r="AI229">
        <v>-24660.7627400889</v>
      </c>
      <c r="AJ229">
        <v>-999.23605957525604</v>
      </c>
      <c r="AK229">
        <v>0</v>
      </c>
      <c r="AL229">
        <v>-1640.0536234400299</v>
      </c>
      <c r="AM229">
        <v>-90.764138570926505</v>
      </c>
      <c r="AN229">
        <v>-239.73557524107599</v>
      </c>
      <c r="AP229">
        <v>-3666</v>
      </c>
      <c r="AQ229">
        <v>2451</v>
      </c>
      <c r="AR229">
        <v>7887</v>
      </c>
      <c r="AS229">
        <v>2570</v>
      </c>
      <c r="AT229">
        <v>2448</v>
      </c>
      <c r="AU229">
        <v>116.547274362119</v>
      </c>
      <c r="AV229">
        <v>8950</v>
      </c>
      <c r="AW229">
        <v>-4640.3666818586398</v>
      </c>
      <c r="AX229">
        <v>2494.70244057217</v>
      </c>
      <c r="AY229">
        <v>-1233.9973799996101</v>
      </c>
      <c r="AZ229">
        <v>-245.968157534635</v>
      </c>
      <c r="BA229">
        <v>-1193.61568987277</v>
      </c>
      <c r="BB229">
        <v>-7209</v>
      </c>
      <c r="BC229">
        <v>2290.4150143944098</v>
      </c>
      <c r="BE229">
        <f t="shared" si="6"/>
        <v>-20084.609824320123</v>
      </c>
      <c r="BF229">
        <f t="shared" si="7"/>
        <v>47624293.62771067</v>
      </c>
    </row>
    <row r="230" spans="1:58" x14ac:dyDescent="0.2">
      <c r="A230" s="1">
        <v>45506</v>
      </c>
      <c r="B230">
        <v>3588</v>
      </c>
      <c r="C230">
        <v>10620</v>
      </c>
      <c r="D230">
        <v>5945.3121895714103</v>
      </c>
      <c r="E230">
        <v>-2300</v>
      </c>
      <c r="F230">
        <v>7215</v>
      </c>
      <c r="G230">
        <v>-3999.1874755346998</v>
      </c>
      <c r="H230">
        <v>-17998.983668216399</v>
      </c>
      <c r="I230">
        <v>-5076.0942697679102</v>
      </c>
      <c r="J230">
        <v>6716</v>
      </c>
      <c r="K230">
        <v>825</v>
      </c>
      <c r="L230">
        <v>2346</v>
      </c>
      <c r="M230">
        <v>3070.5</v>
      </c>
      <c r="N230">
        <v>0</v>
      </c>
      <c r="O230">
        <v>-263.697640179649</v>
      </c>
      <c r="P230">
        <v>2268</v>
      </c>
      <c r="Q230">
        <v>4960</v>
      </c>
      <c r="R230">
        <v>9744</v>
      </c>
      <c r="S230">
        <v>1144</v>
      </c>
      <c r="T230">
        <v>4382</v>
      </c>
      <c r="U230">
        <v>4656.50447181035</v>
      </c>
      <c r="V230">
        <v>4319.97071738248</v>
      </c>
      <c r="W230">
        <v>1582</v>
      </c>
      <c r="X230">
        <v>7961</v>
      </c>
      <c r="Y230">
        <v>6156</v>
      </c>
      <c r="Z230">
        <v>1690.7378161054501</v>
      </c>
      <c r="AA230">
        <v>6521.67864169928</v>
      </c>
      <c r="AC230">
        <v>6444</v>
      </c>
      <c r="AD230">
        <v>612</v>
      </c>
      <c r="AE230">
        <v>1394</v>
      </c>
      <c r="AF230">
        <v>2835.1941966848699</v>
      </c>
      <c r="AG230">
        <v>3092</v>
      </c>
      <c r="AH230">
        <v>2508</v>
      </c>
      <c r="AI230">
        <v>15846.9806734089</v>
      </c>
      <c r="AJ230">
        <v>2072</v>
      </c>
      <c r="AK230">
        <v>0</v>
      </c>
      <c r="AL230">
        <v>6423.94584928309</v>
      </c>
      <c r="AM230">
        <v>2632</v>
      </c>
      <c r="AN230">
        <v>2407.2438224063899</v>
      </c>
      <c r="AP230">
        <v>4512</v>
      </c>
      <c r="AQ230">
        <v>2280</v>
      </c>
      <c r="AR230">
        <v>22451.384767483902</v>
      </c>
      <c r="AS230">
        <v>5530</v>
      </c>
      <c r="AT230">
        <v>-1632</v>
      </c>
      <c r="AU230">
        <v>-2733.1402502215701</v>
      </c>
      <c r="AV230">
        <v>2138.67963776222</v>
      </c>
      <c r="AW230">
        <v>7140</v>
      </c>
      <c r="AX230">
        <v>-82.290020372768495</v>
      </c>
      <c r="AY230">
        <v>3468.9799799996099</v>
      </c>
      <c r="AZ230">
        <v>1522.41928842012</v>
      </c>
      <c r="BA230">
        <v>-3164.45714434713</v>
      </c>
      <c r="BB230">
        <v>14418</v>
      </c>
      <c r="BC230">
        <v>20262.1863003287</v>
      </c>
      <c r="BE230">
        <f t="shared" si="6"/>
        <v>188452.86788370664</v>
      </c>
      <c r="BF230">
        <f t="shared" si="7"/>
        <v>47812746.495594375</v>
      </c>
    </row>
    <row r="231" spans="1:58" x14ac:dyDescent="0.2">
      <c r="A231" s="1">
        <v>45509</v>
      </c>
      <c r="B231">
        <v>10996.159814119301</v>
      </c>
      <c r="C231">
        <v>15576</v>
      </c>
      <c r="D231">
        <v>1712</v>
      </c>
      <c r="E231">
        <v>-1260</v>
      </c>
      <c r="F231">
        <v>-1950</v>
      </c>
      <c r="G231">
        <v>-4614.99999999998</v>
      </c>
      <c r="H231">
        <v>-9267.6717816508408</v>
      </c>
      <c r="I231">
        <v>-1338</v>
      </c>
      <c r="J231">
        <v>16330</v>
      </c>
      <c r="K231">
        <v>-410</v>
      </c>
      <c r="L231">
        <v>6545</v>
      </c>
      <c r="M231">
        <v>6051.2999999999802</v>
      </c>
      <c r="N231">
        <v>0</v>
      </c>
      <c r="O231">
        <v>-3948.5486444296998</v>
      </c>
      <c r="P231">
        <v>10710</v>
      </c>
      <c r="Q231">
        <v>-3720</v>
      </c>
      <c r="R231">
        <v>5544</v>
      </c>
      <c r="S231">
        <v>2704</v>
      </c>
      <c r="T231">
        <v>9489.6937153557392</v>
      </c>
      <c r="U231">
        <v>9507.4416632944994</v>
      </c>
      <c r="V231">
        <v>14400</v>
      </c>
      <c r="W231">
        <v>3736.32309877443</v>
      </c>
      <c r="X231">
        <v>16150</v>
      </c>
      <c r="Y231">
        <v>5562</v>
      </c>
      <c r="Z231">
        <v>3653</v>
      </c>
      <c r="AA231">
        <v>11369.280544027701</v>
      </c>
      <c r="AC231">
        <v>5759.2312752552098</v>
      </c>
      <c r="AD231">
        <v>5724</v>
      </c>
      <c r="AE231">
        <v>2006</v>
      </c>
      <c r="AF231">
        <v>2266.7855995115301</v>
      </c>
      <c r="AG231">
        <v>4406</v>
      </c>
      <c r="AH231">
        <v>1229.7382761051499</v>
      </c>
      <c r="AI231">
        <v>191.60378203278</v>
      </c>
      <c r="AJ231">
        <v>4460.8282949124996</v>
      </c>
      <c r="AK231">
        <v>0</v>
      </c>
      <c r="AL231">
        <v>12071.848291131701</v>
      </c>
      <c r="AM231">
        <v>6149.76478788434</v>
      </c>
      <c r="AN231">
        <v>6290.3899901423902</v>
      </c>
      <c r="AP231">
        <v>4230</v>
      </c>
      <c r="AQ231">
        <v>12939</v>
      </c>
      <c r="AR231">
        <v>16405.2270920218</v>
      </c>
      <c r="AS231">
        <v>7374.5951766079997</v>
      </c>
      <c r="AT231">
        <v>8976</v>
      </c>
      <c r="AU231">
        <v>-2300</v>
      </c>
      <c r="AV231">
        <v>6171.4639941402302</v>
      </c>
      <c r="AW231">
        <v>8470.5926794765091</v>
      </c>
      <c r="AX231">
        <v>-14</v>
      </c>
      <c r="AY231">
        <v>1647.2234628185699</v>
      </c>
      <c r="AZ231">
        <v>2051.1604061163698</v>
      </c>
      <c r="BA231">
        <v>-9589.5497051579405</v>
      </c>
      <c r="BB231">
        <v>7298</v>
      </c>
      <c r="BC231">
        <v>8208</v>
      </c>
      <c r="BE231">
        <f t="shared" si="6"/>
        <v>245950.88181249029</v>
      </c>
      <c r="BF231">
        <f t="shared" si="7"/>
        <v>48058697.377406865</v>
      </c>
    </row>
    <row r="232" spans="1:58" x14ac:dyDescent="0.2">
      <c r="A232" s="1">
        <v>45510</v>
      </c>
      <c r="B232">
        <v>-1943.84289811909</v>
      </c>
      <c r="C232">
        <v>-4248</v>
      </c>
      <c r="D232">
        <v>-2140</v>
      </c>
      <c r="E232">
        <v>-214.767199452483</v>
      </c>
      <c r="F232">
        <v>-2600</v>
      </c>
      <c r="G232">
        <v>1364.99999999993</v>
      </c>
      <c r="H232">
        <v>-1140.85812349771</v>
      </c>
      <c r="I232">
        <v>-930</v>
      </c>
      <c r="J232">
        <v>736</v>
      </c>
      <c r="K232">
        <v>70</v>
      </c>
      <c r="L232">
        <v>-1343</v>
      </c>
      <c r="M232">
        <v>292.43571623402698</v>
      </c>
      <c r="N232">
        <v>0</v>
      </c>
      <c r="O232">
        <v>768.19758993715095</v>
      </c>
      <c r="P232">
        <v>-2202.2633407026901</v>
      </c>
      <c r="Q232">
        <v>6200</v>
      </c>
      <c r="R232">
        <v>-2520</v>
      </c>
      <c r="S232">
        <v>68.266589583590999</v>
      </c>
      <c r="T232">
        <v>955.77588882225905</v>
      </c>
      <c r="U232">
        <v>3954.9470536614299</v>
      </c>
      <c r="V232">
        <v>-1800</v>
      </c>
      <c r="W232">
        <v>-2486.7832481027299</v>
      </c>
      <c r="X232">
        <v>9291</v>
      </c>
      <c r="Y232">
        <v>1343.7333727221701</v>
      </c>
      <c r="Z232">
        <v>6182</v>
      </c>
      <c r="AA232">
        <v>-1407.35934138282</v>
      </c>
      <c r="AC232">
        <v>-2556</v>
      </c>
      <c r="AD232">
        <v>-4314</v>
      </c>
      <c r="AE232">
        <v>2702.5677544475798</v>
      </c>
      <c r="AF232">
        <v>-5051.8201454009804</v>
      </c>
      <c r="AG232">
        <v>-839</v>
      </c>
      <c r="AH232">
        <v>1100.72857791516</v>
      </c>
      <c r="AI232">
        <v>-7897.4915126658198</v>
      </c>
      <c r="AJ232">
        <v>1808.08709138426</v>
      </c>
      <c r="AK232">
        <v>-15.2541748968032</v>
      </c>
      <c r="AL232">
        <v>-2420.1249338060702</v>
      </c>
      <c r="AM232">
        <v>-1963.9010832633801</v>
      </c>
      <c r="AN232">
        <v>-1809.6181891956601</v>
      </c>
      <c r="AP232">
        <v>2813.6367298721598</v>
      </c>
      <c r="AQ232">
        <v>-10431</v>
      </c>
      <c r="AR232">
        <v>1974.9137170327899</v>
      </c>
      <c r="AS232">
        <v>1434.24011424891</v>
      </c>
      <c r="AT232">
        <v>-4896</v>
      </c>
      <c r="AU232">
        <v>-2750</v>
      </c>
      <c r="AV232">
        <v>34226.786618555801</v>
      </c>
      <c r="AW232">
        <v>-585.57332163248702</v>
      </c>
      <c r="AX232">
        <v>-2635.2853134618699</v>
      </c>
      <c r="AY232">
        <v>-915.521549503865</v>
      </c>
      <c r="AZ232">
        <v>-3701.44834076693</v>
      </c>
      <c r="BA232">
        <v>2792.7443023921901</v>
      </c>
      <c r="BB232">
        <v>-3649</v>
      </c>
      <c r="BC232">
        <v>-773.73346785712999</v>
      </c>
      <c r="BE232">
        <f t="shared" si="6"/>
        <v>-2100.5850668991079</v>
      </c>
      <c r="BF232">
        <f t="shared" si="7"/>
        <v>48056596.792339966</v>
      </c>
    </row>
    <row r="233" spans="1:58" x14ac:dyDescent="0.2">
      <c r="A233" s="1">
        <v>45511</v>
      </c>
      <c r="B233">
        <v>-6608</v>
      </c>
      <c r="C233">
        <v>-16402</v>
      </c>
      <c r="D233">
        <v>-5992</v>
      </c>
      <c r="E233">
        <v>989.07883897040495</v>
      </c>
      <c r="F233">
        <v>-5265</v>
      </c>
      <c r="G233">
        <v>1755.00000000006</v>
      </c>
      <c r="H233">
        <v>1963.3597271503399</v>
      </c>
      <c r="I233">
        <v>-414</v>
      </c>
      <c r="J233">
        <v>-11224</v>
      </c>
      <c r="K233">
        <v>-755</v>
      </c>
      <c r="L233">
        <v>-2722.9795815934299</v>
      </c>
      <c r="M233">
        <v>430.15806107433099</v>
      </c>
      <c r="N233">
        <v>0</v>
      </c>
      <c r="O233">
        <v>-2793.7087326373598</v>
      </c>
      <c r="P233">
        <v>-6564.1829709206904</v>
      </c>
      <c r="Q233">
        <v>-8.8550906118553598</v>
      </c>
      <c r="R233">
        <v>-1848</v>
      </c>
      <c r="S233">
        <v>1256.4899237964601</v>
      </c>
      <c r="T233">
        <v>-7083</v>
      </c>
      <c r="U233">
        <v>-5412.6053720805903</v>
      </c>
      <c r="V233">
        <v>-8300</v>
      </c>
      <c r="W233">
        <v>372</v>
      </c>
      <c r="X233">
        <v>-18677</v>
      </c>
      <c r="Y233">
        <v>-6010.2782437902797</v>
      </c>
      <c r="Z233">
        <v>-12364</v>
      </c>
      <c r="AA233">
        <v>-8135.3773520614604</v>
      </c>
      <c r="AC233">
        <v>-3024</v>
      </c>
      <c r="AD233">
        <v>-336</v>
      </c>
      <c r="AE233">
        <v>-959.86950489896003</v>
      </c>
      <c r="AF233">
        <v>-8385</v>
      </c>
      <c r="AG233">
        <v>-1159</v>
      </c>
      <c r="AH233">
        <v>-4392.3484983204598</v>
      </c>
      <c r="AI233">
        <v>-1408.39305390392</v>
      </c>
      <c r="AJ233">
        <v>-3379.0587196832398</v>
      </c>
      <c r="AK233">
        <v>-694.77734165482502</v>
      </c>
      <c r="AL233">
        <v>-16442.160444683399</v>
      </c>
      <c r="AM233">
        <v>-4323.6180673686304</v>
      </c>
      <c r="AN233">
        <v>-4173.8117133626001</v>
      </c>
      <c r="AP233">
        <v>-11170.7179656031</v>
      </c>
      <c r="AQ233">
        <v>-3021</v>
      </c>
      <c r="AR233">
        <v>-15377.1387578707</v>
      </c>
      <c r="AS233">
        <v>-3964.4004811967302</v>
      </c>
      <c r="AT233">
        <v>-12036</v>
      </c>
      <c r="AU233">
        <v>3650</v>
      </c>
      <c r="AV233">
        <v>-7000</v>
      </c>
      <c r="AW233">
        <v>-7909.3311994033302</v>
      </c>
      <c r="AX233">
        <v>192</v>
      </c>
      <c r="AY233">
        <v>0</v>
      </c>
      <c r="AZ233">
        <v>-7135.5589199999904</v>
      </c>
      <c r="BA233">
        <v>933.16479999999603</v>
      </c>
      <c r="BB233">
        <v>-6319</v>
      </c>
      <c r="BC233">
        <v>-5470.31153760301</v>
      </c>
      <c r="BE233">
        <f t="shared" si="6"/>
        <v>-243120.23219825697</v>
      </c>
      <c r="BF233">
        <f t="shared" si="7"/>
        <v>47813476.560141712</v>
      </c>
    </row>
    <row r="234" spans="1:58" x14ac:dyDescent="0.2">
      <c r="A234" s="1">
        <v>45512</v>
      </c>
      <c r="B234">
        <v>6650</v>
      </c>
      <c r="C234">
        <v>472</v>
      </c>
      <c r="D234">
        <v>2996</v>
      </c>
      <c r="E234">
        <v>-637</v>
      </c>
      <c r="F234">
        <v>7800</v>
      </c>
      <c r="G234">
        <v>-4292.2866947528801</v>
      </c>
      <c r="H234">
        <v>311.63877500000001</v>
      </c>
      <c r="I234">
        <v>-3432</v>
      </c>
      <c r="J234">
        <v>6026</v>
      </c>
      <c r="K234">
        <v>555</v>
      </c>
      <c r="L234">
        <v>4014</v>
      </c>
      <c r="M234">
        <v>-9084.8520336243892</v>
      </c>
      <c r="N234">
        <v>0</v>
      </c>
      <c r="O234">
        <v>-11880</v>
      </c>
      <c r="P234">
        <v>4544</v>
      </c>
      <c r="Q234">
        <v>-968.85536330820696</v>
      </c>
      <c r="R234">
        <v>-170.338579497827</v>
      </c>
      <c r="S234">
        <v>-1319.2797088203599</v>
      </c>
      <c r="T234">
        <v>9468</v>
      </c>
      <c r="U234">
        <v>4824</v>
      </c>
      <c r="V234">
        <v>6700</v>
      </c>
      <c r="W234">
        <v>-831.610833486209</v>
      </c>
      <c r="X234">
        <v>14896</v>
      </c>
      <c r="Y234">
        <v>360</v>
      </c>
      <c r="Z234">
        <v>-2262.5054930943302</v>
      </c>
      <c r="AA234">
        <v>6789.99999999996</v>
      </c>
      <c r="AC234">
        <v>-1100</v>
      </c>
      <c r="AD234">
        <v>-276</v>
      </c>
      <c r="AE234">
        <v>5357.4669880324</v>
      </c>
      <c r="AF234">
        <v>5160</v>
      </c>
      <c r="AG234">
        <v>514</v>
      </c>
      <c r="AH234">
        <v>930</v>
      </c>
      <c r="AI234">
        <v>-10591.525265263601</v>
      </c>
      <c r="AJ234">
        <v>3465</v>
      </c>
      <c r="AK234">
        <v>1447.7982</v>
      </c>
      <c r="AL234">
        <v>-2212</v>
      </c>
      <c r="AM234">
        <v>1859</v>
      </c>
      <c r="AN234">
        <v>1032</v>
      </c>
      <c r="AP234">
        <v>1490</v>
      </c>
      <c r="AQ234">
        <v>456</v>
      </c>
      <c r="AR234">
        <v>15254</v>
      </c>
      <c r="AS234">
        <v>3962</v>
      </c>
      <c r="AT234">
        <v>-8506.6576783030905</v>
      </c>
      <c r="AU234">
        <v>700</v>
      </c>
      <c r="AV234">
        <v>-10920</v>
      </c>
      <c r="AW234">
        <v>1040</v>
      </c>
      <c r="AX234">
        <v>-4112</v>
      </c>
      <c r="AY234">
        <v>-16285.6279999995</v>
      </c>
      <c r="AZ234">
        <v>1116.52015999995</v>
      </c>
      <c r="BA234">
        <v>-293.63049999999998</v>
      </c>
      <c r="BB234">
        <v>7565</v>
      </c>
      <c r="BC234">
        <v>-12879</v>
      </c>
      <c r="BE234">
        <f t="shared" si="6"/>
        <v>25700.253972881917</v>
      </c>
      <c r="BF234">
        <f t="shared" si="7"/>
        <v>47839176.814114593</v>
      </c>
    </row>
    <row r="235" spans="1:58" x14ac:dyDescent="0.2">
      <c r="A235" s="1">
        <v>45513</v>
      </c>
      <c r="B235">
        <v>-56</v>
      </c>
      <c r="C235">
        <v>-1062</v>
      </c>
      <c r="D235">
        <v>2996</v>
      </c>
      <c r="E235">
        <v>-13</v>
      </c>
      <c r="F235">
        <v>-325</v>
      </c>
      <c r="G235">
        <v>1540.99999999997</v>
      </c>
      <c r="H235">
        <v>178.29961</v>
      </c>
      <c r="I235">
        <v>-504</v>
      </c>
      <c r="J235">
        <v>1380</v>
      </c>
      <c r="K235">
        <v>-295</v>
      </c>
      <c r="L235">
        <v>-1964.9879633765399</v>
      </c>
      <c r="M235">
        <v>-3218.4000000000101</v>
      </c>
      <c r="N235">
        <v>0</v>
      </c>
      <c r="O235">
        <v>5760</v>
      </c>
      <c r="P235">
        <v>994</v>
      </c>
      <c r="Q235">
        <v>1641.1453291012799</v>
      </c>
      <c r="R235">
        <v>-7.0142356925384499</v>
      </c>
      <c r="S235">
        <v>318.56420556024699</v>
      </c>
      <c r="T235">
        <v>-5238</v>
      </c>
      <c r="U235">
        <v>-2383.5525919776801</v>
      </c>
      <c r="V235">
        <v>400</v>
      </c>
      <c r="W235">
        <v>2158</v>
      </c>
      <c r="X235">
        <v>2109</v>
      </c>
      <c r="Y235">
        <v>4640</v>
      </c>
      <c r="Z235">
        <v>5212.2073464334098</v>
      </c>
      <c r="AA235">
        <v>50</v>
      </c>
      <c r="AC235">
        <v>2540</v>
      </c>
      <c r="AD235">
        <v>792</v>
      </c>
      <c r="AE235">
        <v>-259.18698162344401</v>
      </c>
      <c r="AF235">
        <v>-5934</v>
      </c>
      <c r="AG235">
        <v>121.027517939758</v>
      </c>
      <c r="AH235">
        <v>1023</v>
      </c>
      <c r="AI235">
        <v>-3656.5666896041498</v>
      </c>
      <c r="AJ235">
        <v>1232</v>
      </c>
      <c r="AK235">
        <v>128.93145000000001</v>
      </c>
      <c r="AL235">
        <v>632</v>
      </c>
      <c r="AM235">
        <v>1963</v>
      </c>
      <c r="AN235">
        <v>1200</v>
      </c>
      <c r="AP235">
        <v>2235</v>
      </c>
      <c r="AQ235">
        <v>3819</v>
      </c>
      <c r="AR235">
        <v>-8416</v>
      </c>
      <c r="AS235">
        <v>2452.7033723239201</v>
      </c>
      <c r="AT235">
        <v>-30.6119913849105</v>
      </c>
      <c r="AU235">
        <v>0</v>
      </c>
      <c r="AV235">
        <v>6440</v>
      </c>
      <c r="AW235">
        <v>0</v>
      </c>
      <c r="AX235">
        <v>704</v>
      </c>
      <c r="AY235">
        <v>-5919.7160000003796</v>
      </c>
      <c r="AZ235">
        <v>-420.51029999995302</v>
      </c>
      <c r="BA235">
        <v>-195.95795999999001</v>
      </c>
      <c r="BB235">
        <v>9256</v>
      </c>
      <c r="BC235">
        <v>-1908</v>
      </c>
      <c r="BE235">
        <f t="shared" si="6"/>
        <v>22109.374117698993</v>
      </c>
      <c r="BF235">
        <f t="shared" si="7"/>
        <v>47861286.188232295</v>
      </c>
    </row>
    <row r="236" spans="1:58" x14ac:dyDescent="0.2">
      <c r="A236" s="1">
        <v>45516</v>
      </c>
      <c r="B236">
        <v>-775.92191570734997</v>
      </c>
      <c r="C236">
        <v>15451.991207962201</v>
      </c>
      <c r="D236">
        <v>2568</v>
      </c>
      <c r="E236">
        <v>-326.28436176493102</v>
      </c>
      <c r="F236">
        <v>-1885</v>
      </c>
      <c r="G236">
        <v>-6163.99999999991</v>
      </c>
      <c r="H236">
        <v>19.03688</v>
      </c>
      <c r="I236">
        <v>-11856</v>
      </c>
      <c r="J236">
        <v>-7406</v>
      </c>
      <c r="K236">
        <v>-250</v>
      </c>
      <c r="L236">
        <v>1726.0248858329001</v>
      </c>
      <c r="M236">
        <v>-20433.5999999999</v>
      </c>
      <c r="N236">
        <v>0</v>
      </c>
      <c r="O236">
        <v>-25199.9999999998</v>
      </c>
      <c r="P236">
        <v>-1917</v>
      </c>
      <c r="Q236">
        <v>-697.40337742037502</v>
      </c>
      <c r="R236">
        <v>-876.36955362404206</v>
      </c>
      <c r="S236">
        <v>1443.32709162524</v>
      </c>
      <c r="T236">
        <v>-4671</v>
      </c>
      <c r="U236">
        <v>-77.5123597849243</v>
      </c>
      <c r="V236">
        <v>800</v>
      </c>
      <c r="W236">
        <v>-2212.6278166651</v>
      </c>
      <c r="X236">
        <v>-5054</v>
      </c>
      <c r="Y236">
        <v>653.74196204377199</v>
      </c>
      <c r="Z236">
        <v>-11572</v>
      </c>
      <c r="AA236">
        <v>903.24933366581695</v>
      </c>
      <c r="AC236">
        <v>-5106.7812209973799</v>
      </c>
      <c r="AD236">
        <v>-48</v>
      </c>
      <c r="AE236">
        <v>2208.96622840498</v>
      </c>
      <c r="AF236">
        <v>-1462</v>
      </c>
      <c r="AG236">
        <v>-4572</v>
      </c>
      <c r="AH236">
        <v>372</v>
      </c>
      <c r="AI236">
        <v>5043.9583219155102</v>
      </c>
      <c r="AJ236">
        <v>-2017.9069862298199</v>
      </c>
      <c r="AK236">
        <v>1964.0761854013199</v>
      </c>
      <c r="AL236">
        <v>2686</v>
      </c>
      <c r="AM236">
        <v>1856.4083586446</v>
      </c>
      <c r="AN236">
        <v>1620</v>
      </c>
      <c r="AP236">
        <v>4917</v>
      </c>
      <c r="AQ236">
        <v>-1368</v>
      </c>
      <c r="AR236">
        <v>11572</v>
      </c>
      <c r="AS236">
        <v>2799.6519357544098</v>
      </c>
      <c r="AT236">
        <v>-472.08804716596597</v>
      </c>
      <c r="AU236">
        <v>-14550</v>
      </c>
      <c r="AV236">
        <v>0</v>
      </c>
      <c r="AW236">
        <v>208</v>
      </c>
      <c r="AX236">
        <v>-14584</v>
      </c>
      <c r="AY236">
        <v>-26731.1889999995</v>
      </c>
      <c r="AZ236">
        <v>-6191.4654900000296</v>
      </c>
      <c r="BA236">
        <v>149.0985</v>
      </c>
      <c r="BB236">
        <v>5963</v>
      </c>
      <c r="BC236">
        <v>-2703</v>
      </c>
      <c r="BE236">
        <f t="shared" si="6"/>
        <v>-116255.61923810828</v>
      </c>
      <c r="BF236">
        <f t="shared" si="7"/>
        <v>47745030.568994187</v>
      </c>
    </row>
    <row r="237" spans="1:58" x14ac:dyDescent="0.2">
      <c r="A237" s="1">
        <v>45517</v>
      </c>
      <c r="B237">
        <v>-6840</v>
      </c>
      <c r="C237">
        <v>1170</v>
      </c>
      <c r="D237">
        <v>-4280</v>
      </c>
      <c r="E237">
        <v>68.032003909281201</v>
      </c>
      <c r="F237">
        <v>1365</v>
      </c>
      <c r="G237">
        <v>-10787</v>
      </c>
      <c r="H237">
        <v>523.51419999999996</v>
      </c>
      <c r="I237">
        <v>-9142.2208153151605</v>
      </c>
      <c r="J237">
        <v>-10764</v>
      </c>
      <c r="K237">
        <v>-453.04614741345199</v>
      </c>
      <c r="L237">
        <v>-3448.9469986788099</v>
      </c>
      <c r="M237">
        <v>-10213.523837304399</v>
      </c>
      <c r="N237">
        <v>-33.3558417334716</v>
      </c>
      <c r="O237">
        <v>-18509.431474755602</v>
      </c>
      <c r="P237">
        <v>-9454.8959529639196</v>
      </c>
      <c r="Q237">
        <v>-3257.38986871619</v>
      </c>
      <c r="R237">
        <v>-2880.3845844367502</v>
      </c>
      <c r="S237">
        <v>-1673.9087276150401</v>
      </c>
      <c r="T237">
        <v>-1035</v>
      </c>
      <c r="U237">
        <v>-4567.5431175137801</v>
      </c>
      <c r="V237">
        <v>-6850</v>
      </c>
      <c r="W237">
        <v>1414</v>
      </c>
      <c r="X237">
        <v>-5814</v>
      </c>
      <c r="Y237">
        <v>-5739.27440374859</v>
      </c>
      <c r="Z237">
        <v>-10065.161811395999</v>
      </c>
      <c r="AA237">
        <v>-7318.3772912784298</v>
      </c>
      <c r="AC237">
        <v>-12210</v>
      </c>
      <c r="AD237">
        <v>-612</v>
      </c>
      <c r="AE237">
        <v>-8699.3968946763998</v>
      </c>
      <c r="AF237">
        <v>-6880</v>
      </c>
      <c r="AG237">
        <v>-4126</v>
      </c>
      <c r="AH237">
        <v>-390.83996243011802</v>
      </c>
      <c r="AI237">
        <v>-1681.50701402654</v>
      </c>
      <c r="AJ237">
        <v>1737.7632349313801</v>
      </c>
      <c r="AK237">
        <v>-15.7295209477552</v>
      </c>
      <c r="AL237">
        <v>-7900</v>
      </c>
      <c r="AM237">
        <v>-4131.5312608615804</v>
      </c>
      <c r="AN237">
        <v>-3069.5632988598099</v>
      </c>
      <c r="AP237">
        <v>-5364</v>
      </c>
      <c r="AQ237">
        <v>-7695</v>
      </c>
      <c r="AR237">
        <v>-4997</v>
      </c>
      <c r="AS237">
        <v>-18198.427277598599</v>
      </c>
      <c r="AT237">
        <v>-3849.1015528850999</v>
      </c>
      <c r="AU237">
        <v>12612.6976728793</v>
      </c>
      <c r="AV237">
        <v>-3360</v>
      </c>
      <c r="AW237">
        <v>-1255.8515662652201</v>
      </c>
      <c r="AX237">
        <v>-8320</v>
      </c>
      <c r="AY237">
        <v>-2642.3193413456402</v>
      </c>
      <c r="AZ237">
        <v>4502.6892476788598</v>
      </c>
      <c r="BA237">
        <v>-465.187320000017</v>
      </c>
      <c r="BB237">
        <v>4094</v>
      </c>
      <c r="BC237">
        <v>-11607</v>
      </c>
      <c r="BE237">
        <f t="shared" si="6"/>
        <v>-223110.21952336756</v>
      </c>
      <c r="BF237">
        <f t="shared" si="7"/>
        <v>47521920.349470817</v>
      </c>
    </row>
    <row r="238" spans="1:58" x14ac:dyDescent="0.2">
      <c r="A238" s="1">
        <v>45518</v>
      </c>
      <c r="B238">
        <v>3345</v>
      </c>
      <c r="C238">
        <v>8892</v>
      </c>
      <c r="D238">
        <v>2568</v>
      </c>
      <c r="E238">
        <v>-88.939761602877596</v>
      </c>
      <c r="F238">
        <v>4030</v>
      </c>
      <c r="G238">
        <v>11122</v>
      </c>
      <c r="H238">
        <v>468.92322000000001</v>
      </c>
      <c r="I238">
        <v>6022.3892388314398</v>
      </c>
      <c r="J238">
        <v>-5796</v>
      </c>
      <c r="K238">
        <v>506.14695154014601</v>
      </c>
      <c r="L238">
        <v>299</v>
      </c>
      <c r="M238">
        <v>12732.966045610299</v>
      </c>
      <c r="N238">
        <v>-2570.7966321659701</v>
      </c>
      <c r="O238">
        <v>15081.5724931326</v>
      </c>
      <c r="P238">
        <v>6048</v>
      </c>
      <c r="Q238">
        <v>3420</v>
      </c>
      <c r="R238">
        <v>-1118.32981478787</v>
      </c>
      <c r="S238">
        <v>1274</v>
      </c>
      <c r="T238">
        <v>-1764</v>
      </c>
      <c r="U238">
        <v>4424</v>
      </c>
      <c r="V238">
        <v>3650</v>
      </c>
      <c r="W238">
        <v>4156.3589956189398</v>
      </c>
      <c r="X238">
        <v>8227</v>
      </c>
      <c r="Y238">
        <v>6380</v>
      </c>
      <c r="Z238">
        <v>9144.9828547688594</v>
      </c>
      <c r="AA238">
        <v>4128.49999999995</v>
      </c>
      <c r="AC238">
        <v>9180</v>
      </c>
      <c r="AD238">
        <v>-534</v>
      </c>
      <c r="AE238">
        <v>5859</v>
      </c>
      <c r="AF238">
        <v>7697</v>
      </c>
      <c r="AG238">
        <v>6178</v>
      </c>
      <c r="AH238">
        <v>3094.60883981398</v>
      </c>
      <c r="AI238">
        <v>6925.4415086323297</v>
      </c>
      <c r="AJ238">
        <v>-535.91744994860596</v>
      </c>
      <c r="AK238">
        <v>-2444.56886774739</v>
      </c>
      <c r="AL238">
        <v>8532</v>
      </c>
      <c r="AM238">
        <v>4290</v>
      </c>
      <c r="AN238">
        <v>3038</v>
      </c>
      <c r="AP238">
        <v>2980</v>
      </c>
      <c r="AQ238">
        <v>-1653</v>
      </c>
      <c r="AR238">
        <v>4208</v>
      </c>
      <c r="AS238">
        <v>8172</v>
      </c>
      <c r="AT238">
        <v>3164.4657849760702</v>
      </c>
      <c r="AU238">
        <v>-312</v>
      </c>
      <c r="AV238">
        <v>4480</v>
      </c>
      <c r="AW238">
        <v>3790.1808934045198</v>
      </c>
      <c r="AX238">
        <v>13571.173042288499</v>
      </c>
      <c r="AY238">
        <v>0</v>
      </c>
      <c r="AZ238">
        <v>1346.3645000000199</v>
      </c>
      <c r="BA238">
        <v>432.85008000000403</v>
      </c>
      <c r="BB238">
        <v>4532.2462461180703</v>
      </c>
      <c r="BC238">
        <v>-1113</v>
      </c>
      <c r="BE238">
        <f t="shared" si="6"/>
        <v>199461.61816848302</v>
      </c>
      <c r="BF238">
        <f t="shared" si="7"/>
        <v>47721381.967639297</v>
      </c>
    </row>
    <row r="239" spans="1:58" x14ac:dyDescent="0.2">
      <c r="A239" s="1">
        <v>45519</v>
      </c>
      <c r="B239">
        <v>7251.7675787144899</v>
      </c>
      <c r="C239">
        <v>380.28854427018501</v>
      </c>
      <c r="D239">
        <v>2620.1256751389901</v>
      </c>
      <c r="E239">
        <v>-402.28681427626998</v>
      </c>
      <c r="F239">
        <v>-6552.63359931185</v>
      </c>
      <c r="G239">
        <v>-1294.00439379314</v>
      </c>
      <c r="H239">
        <v>340.99286604973099</v>
      </c>
      <c r="I239">
        <v>-274.24501742339697</v>
      </c>
      <c r="J239">
        <v>7463.9816606039403</v>
      </c>
      <c r="K239">
        <v>186.23407684451399</v>
      </c>
      <c r="L239">
        <v>6077.1008440353698</v>
      </c>
      <c r="M239">
        <v>-1542.8690445631801</v>
      </c>
      <c r="N239">
        <v>1987.9310082540801</v>
      </c>
      <c r="O239">
        <v>1580.45470577691</v>
      </c>
      <c r="P239">
        <v>-663.48884971618804</v>
      </c>
      <c r="Q239">
        <v>1718.4313010989999</v>
      </c>
      <c r="R239">
        <v>1901.12458535255</v>
      </c>
      <c r="S239">
        <v>457.91656148063402</v>
      </c>
      <c r="T239">
        <v>1898.7493664287499</v>
      </c>
      <c r="U239">
        <v>2171.53210029516</v>
      </c>
      <c r="V239">
        <v>6360.5011894877898</v>
      </c>
      <c r="W239">
        <v>-131.746810131497</v>
      </c>
      <c r="X239">
        <v>2935.96870480286</v>
      </c>
      <c r="Y239">
        <v>-1508.8716606400801</v>
      </c>
      <c r="Z239">
        <v>5980.3717038544501</v>
      </c>
      <c r="AA239">
        <v>7545.0012993217597</v>
      </c>
      <c r="AC239">
        <v>-1651.9515122038499</v>
      </c>
      <c r="AD239">
        <v>601.41165985086195</v>
      </c>
      <c r="AE239">
        <v>334.44370314164797</v>
      </c>
      <c r="AF239">
        <v>6136.8721046743603</v>
      </c>
      <c r="AG239">
        <v>-2583.6167385133599</v>
      </c>
      <c r="AH239">
        <v>5042.2690237523702</v>
      </c>
      <c r="AI239">
        <v>5232.2037833496297</v>
      </c>
      <c r="AJ239">
        <v>781.65308552827003</v>
      </c>
      <c r="AK239">
        <v>3157.5386705918399</v>
      </c>
      <c r="AL239">
        <v>3786.4121004137201</v>
      </c>
      <c r="AM239">
        <v>4207.2678006738997</v>
      </c>
      <c r="AN239">
        <v>6053.8173373025602</v>
      </c>
      <c r="AP239">
        <v>3582.34413379849</v>
      </c>
      <c r="AQ239">
        <v>5760.23151714291</v>
      </c>
      <c r="AR239">
        <v>17502.593967234199</v>
      </c>
      <c r="AS239">
        <v>7284.1564486961697</v>
      </c>
      <c r="AT239">
        <v>-664.52971644160198</v>
      </c>
      <c r="AU239">
        <v>326.49146482650298</v>
      </c>
      <c r="AV239">
        <v>-1275.3811705554599</v>
      </c>
      <c r="AW239">
        <v>753.71985130405199</v>
      </c>
      <c r="AX239">
        <v>-2107.9467788471902</v>
      </c>
      <c r="AY239">
        <v>-3196.4859778580899</v>
      </c>
      <c r="AZ239">
        <v>-7316.1292081707898</v>
      </c>
      <c r="BA239">
        <v>-1119.5648677614099</v>
      </c>
      <c r="BB239">
        <v>6507.7958140186101</v>
      </c>
      <c r="BC239">
        <v>2814.3907828588099</v>
      </c>
      <c r="BE239">
        <f t="shared" si="6"/>
        <v>106438.33486076271</v>
      </c>
      <c r="BF239">
        <f t="shared" si="7"/>
        <v>47827820.302500062</v>
      </c>
    </row>
    <row r="240" spans="1:58" x14ac:dyDescent="0.2">
      <c r="A240" s="1">
        <v>45520</v>
      </c>
      <c r="B240">
        <v>-1085.00888850553</v>
      </c>
      <c r="C240">
        <v>7605</v>
      </c>
      <c r="D240">
        <v>1230.7910690322799</v>
      </c>
      <c r="E240">
        <v>-33.842641567840602</v>
      </c>
      <c r="F240">
        <v>748</v>
      </c>
      <c r="G240">
        <v>-4221.00000000004</v>
      </c>
      <c r="H240">
        <v>624.322232415592</v>
      </c>
      <c r="I240">
        <v>-351</v>
      </c>
      <c r="J240">
        <v>-3397</v>
      </c>
      <c r="K240">
        <v>-48.6559667921805</v>
      </c>
      <c r="L240">
        <v>2055.15145076313</v>
      </c>
      <c r="M240">
        <v>-2831</v>
      </c>
      <c r="N240">
        <v>5490.3355000000001</v>
      </c>
      <c r="O240">
        <v>-496.00000000005502</v>
      </c>
      <c r="P240">
        <v>4104</v>
      </c>
      <c r="Q240">
        <v>363.93564365726502</v>
      </c>
      <c r="R240">
        <v>2261.46999497567</v>
      </c>
      <c r="S240">
        <v>-24.430092808301001</v>
      </c>
      <c r="T240">
        <v>2529</v>
      </c>
      <c r="U240">
        <v>6391.4683743359701</v>
      </c>
      <c r="V240">
        <v>2069.6622707458801</v>
      </c>
      <c r="W240">
        <v>3805.12639129114</v>
      </c>
      <c r="X240">
        <v>4408</v>
      </c>
      <c r="Y240">
        <v>7652.7078335931701</v>
      </c>
      <c r="Z240">
        <v>3270</v>
      </c>
      <c r="AA240">
        <v>2324.4403153823</v>
      </c>
      <c r="AC240">
        <v>11485</v>
      </c>
      <c r="AD240">
        <v>810</v>
      </c>
      <c r="AE240">
        <v>819</v>
      </c>
      <c r="AF240">
        <v>-2150</v>
      </c>
      <c r="AG240">
        <v>-1624</v>
      </c>
      <c r="AH240">
        <v>2906.67067729071</v>
      </c>
      <c r="AI240">
        <v>-2132</v>
      </c>
      <c r="AJ240">
        <v>684.21471537828904</v>
      </c>
      <c r="AK240">
        <v>1109.02859533691</v>
      </c>
      <c r="AL240">
        <v>3476</v>
      </c>
      <c r="AM240">
        <v>615.51135692466198</v>
      </c>
      <c r="AN240">
        <v>365.59476090332402</v>
      </c>
      <c r="AP240">
        <v>-6.86076138757692</v>
      </c>
      <c r="AQ240">
        <v>4503</v>
      </c>
      <c r="AR240">
        <v>5861.6880781141899</v>
      </c>
      <c r="AS240">
        <v>2340</v>
      </c>
      <c r="AT240">
        <v>1824</v>
      </c>
      <c r="AU240">
        <v>-823.70539735869102</v>
      </c>
      <c r="AV240">
        <v>54040</v>
      </c>
      <c r="AW240">
        <v>-969.58007804274496</v>
      </c>
      <c r="AX240">
        <v>246</v>
      </c>
      <c r="AY240">
        <v>-246.065413711189</v>
      </c>
      <c r="AZ240">
        <v>2323.89876338061</v>
      </c>
      <c r="BA240">
        <v>55.086660000001999</v>
      </c>
      <c r="BB240">
        <v>2013.47637647995</v>
      </c>
      <c r="BC240">
        <v>474</v>
      </c>
      <c r="BE240">
        <f t="shared" si="6"/>
        <v>132445.43181982692</v>
      </c>
      <c r="BF240">
        <f t="shared" si="7"/>
        <v>47960265.734319888</v>
      </c>
    </row>
    <row r="241" spans="1:58" x14ac:dyDescent="0.2">
      <c r="A241" s="1">
        <v>45523</v>
      </c>
      <c r="B241">
        <v>13515.8440607013</v>
      </c>
      <c r="C241">
        <v>9945</v>
      </c>
      <c r="D241">
        <v>9994.6956489816093</v>
      </c>
      <c r="E241">
        <v>453.070587954129</v>
      </c>
      <c r="F241">
        <v>5236</v>
      </c>
      <c r="G241">
        <v>-4488.99999999989</v>
      </c>
      <c r="H241">
        <v>1486.57696823537</v>
      </c>
      <c r="I241">
        <v>-3430.2508120708799</v>
      </c>
      <c r="J241">
        <v>7826</v>
      </c>
      <c r="K241">
        <v>559.18720090499903</v>
      </c>
      <c r="L241">
        <v>2172.2429471420301</v>
      </c>
      <c r="M241">
        <v>-3515</v>
      </c>
      <c r="N241">
        <v>2880.56088000004</v>
      </c>
      <c r="O241">
        <v>-7439.99999999995</v>
      </c>
      <c r="P241">
        <v>-2232</v>
      </c>
      <c r="Q241">
        <v>7122.61851901511</v>
      </c>
      <c r="R241">
        <v>8083.2279717904003</v>
      </c>
      <c r="S241">
        <v>2523.84015985112</v>
      </c>
      <c r="T241">
        <v>10404</v>
      </c>
      <c r="U241">
        <v>17708.873055466502</v>
      </c>
      <c r="V241">
        <v>16500</v>
      </c>
      <c r="W241">
        <v>17865.8167461501</v>
      </c>
      <c r="X241">
        <v>12654</v>
      </c>
      <c r="Y241">
        <v>8513.6963217274606</v>
      </c>
      <c r="Z241">
        <v>1526</v>
      </c>
      <c r="AA241">
        <v>13838.2906671234</v>
      </c>
      <c r="AC241">
        <v>1350</v>
      </c>
      <c r="AD241">
        <v>0</v>
      </c>
      <c r="AE241">
        <v>3636.2463150604499</v>
      </c>
      <c r="AF241">
        <v>11051</v>
      </c>
      <c r="AG241">
        <v>2716</v>
      </c>
      <c r="AH241">
        <v>9205.5619508358195</v>
      </c>
      <c r="AI241">
        <v>936</v>
      </c>
      <c r="AJ241">
        <v>-2990.1881782084602</v>
      </c>
      <c r="AK241">
        <v>6918.6480414606904</v>
      </c>
      <c r="AL241">
        <v>3435.6025644174201</v>
      </c>
      <c r="AM241">
        <v>16556.524780658601</v>
      </c>
      <c r="AN241">
        <v>15392.5859052142</v>
      </c>
      <c r="AP241">
        <v>8615.7632755393297</v>
      </c>
      <c r="AQ241">
        <v>4389</v>
      </c>
      <c r="AR241">
        <v>23364.7602576832</v>
      </c>
      <c r="AS241">
        <v>10782</v>
      </c>
      <c r="AT241">
        <v>2128</v>
      </c>
      <c r="AU241">
        <v>-167.91842364472399</v>
      </c>
      <c r="AV241">
        <v>-12805.649199755901</v>
      </c>
      <c r="AW241">
        <v>9627.8377956450404</v>
      </c>
      <c r="AX241">
        <v>-3234</v>
      </c>
      <c r="AY241">
        <v>0</v>
      </c>
      <c r="AZ241">
        <v>1023.55699999997</v>
      </c>
      <c r="BA241">
        <v>-686.41890000000296</v>
      </c>
      <c r="BB241">
        <v>10168.5005152515</v>
      </c>
      <c r="BC241">
        <v>18486</v>
      </c>
      <c r="BE241">
        <f t="shared" si="6"/>
        <v>289602.70462312992</v>
      </c>
      <c r="BF241">
        <f t="shared" si="7"/>
        <v>48249868.438943021</v>
      </c>
    </row>
    <row r="242" spans="1:58" x14ac:dyDescent="0.2">
      <c r="A242" s="1">
        <v>45524</v>
      </c>
      <c r="B242">
        <v>-1346.1514080092099</v>
      </c>
      <c r="C242">
        <v>21171.250509788399</v>
      </c>
      <c r="D242">
        <v>-2909.9817210688898</v>
      </c>
      <c r="E242">
        <v>-903.04013650506295</v>
      </c>
      <c r="F242">
        <v>-1011.26859894798</v>
      </c>
      <c r="G242">
        <v>-5969.8154039804804</v>
      </c>
      <c r="H242">
        <v>-1724.2981329638101</v>
      </c>
      <c r="I242">
        <v>-1902.2932307413</v>
      </c>
      <c r="J242">
        <v>602</v>
      </c>
      <c r="K242">
        <v>-445.95786724274802</v>
      </c>
      <c r="L242">
        <v>1812.3154934480001</v>
      </c>
      <c r="M242">
        <v>-1568.6665587817999</v>
      </c>
      <c r="N242">
        <v>730.77057540992701</v>
      </c>
      <c r="O242">
        <v>1367.9145320175001</v>
      </c>
      <c r="P242">
        <v>-34.981006954427002</v>
      </c>
      <c r="Q242">
        <v>3493.9369754939298</v>
      </c>
      <c r="R242">
        <v>5901.3679509008798</v>
      </c>
      <c r="S242">
        <v>2462.4033316386599</v>
      </c>
      <c r="T242">
        <v>12806.85492695</v>
      </c>
      <c r="U242">
        <v>-3420</v>
      </c>
      <c r="V242">
        <v>1425</v>
      </c>
      <c r="W242">
        <v>8728.5818079050896</v>
      </c>
      <c r="X242">
        <v>6954</v>
      </c>
      <c r="Y242">
        <v>3762.3867649079202</v>
      </c>
      <c r="Z242">
        <v>1526</v>
      </c>
      <c r="AA242">
        <v>1603.2904298787</v>
      </c>
      <c r="AC242">
        <v>1335</v>
      </c>
      <c r="AD242">
        <v>3042</v>
      </c>
      <c r="AE242">
        <v>1482.5154893843001</v>
      </c>
      <c r="AF242">
        <v>688</v>
      </c>
      <c r="AG242">
        <v>-8076</v>
      </c>
      <c r="AH242">
        <v>10240.2920871925</v>
      </c>
      <c r="AI242">
        <v>1404</v>
      </c>
      <c r="AJ242">
        <v>-1888</v>
      </c>
      <c r="AK242">
        <v>1851.0380016557201</v>
      </c>
      <c r="AL242">
        <v>-892.48437128495596</v>
      </c>
      <c r="AM242">
        <v>7497</v>
      </c>
      <c r="AN242">
        <v>6569.2832270409199</v>
      </c>
      <c r="AP242">
        <v>11348.991272314201</v>
      </c>
      <c r="AQ242">
        <v>4825.0435233690696</v>
      </c>
      <c r="AR242">
        <v>9617.0448302068398</v>
      </c>
      <c r="AS242">
        <v>-1626.69878041433</v>
      </c>
      <c r="AT242">
        <v>912</v>
      </c>
      <c r="AU242">
        <v>-9196</v>
      </c>
      <c r="AV242">
        <v>25920</v>
      </c>
      <c r="AW242">
        <v>-5319.1387746800201</v>
      </c>
      <c r="AX242">
        <v>-3028.3400810216999</v>
      </c>
      <c r="AY242">
        <v>0</v>
      </c>
      <c r="AZ242">
        <v>2988.7864399999798</v>
      </c>
      <c r="BA242">
        <v>-567.04170000001</v>
      </c>
      <c r="BB242">
        <v>-460.73909841170098</v>
      </c>
      <c r="BC242">
        <v>1738</v>
      </c>
      <c r="BE242">
        <f t="shared" si="6"/>
        <v>113516.1712984941</v>
      </c>
      <c r="BF242">
        <f t="shared" si="7"/>
        <v>48363384.610241517</v>
      </c>
    </row>
    <row r="243" spans="1:58" x14ac:dyDescent="0.2">
      <c r="A243" s="1">
        <v>45525</v>
      </c>
      <c r="B243">
        <v>6171.82322421547</v>
      </c>
      <c r="C243">
        <v>3894</v>
      </c>
      <c r="D243">
        <v>2473.4817549392301</v>
      </c>
      <c r="E243">
        <v>-1302</v>
      </c>
      <c r="F243">
        <v>-1799.4234322136399</v>
      </c>
      <c r="G243">
        <v>6089.7565936505898</v>
      </c>
      <c r="H243">
        <v>2388.6399194953401</v>
      </c>
      <c r="I243">
        <v>24.7135471621805</v>
      </c>
      <c r="J243">
        <v>-4859</v>
      </c>
      <c r="K243">
        <v>857.63591294357298</v>
      </c>
      <c r="L243">
        <v>6828.3299892289997</v>
      </c>
      <c r="M243">
        <v>698.07806009495596</v>
      </c>
      <c r="N243">
        <v>-383.28507557373001</v>
      </c>
      <c r="O243">
        <v>-2932.1165821474901</v>
      </c>
      <c r="P243">
        <v>-259.974415536572</v>
      </c>
      <c r="Q243">
        <v>922.62772789874998</v>
      </c>
      <c r="R243">
        <v>-1013.06121070647</v>
      </c>
      <c r="S243">
        <v>12106.922171357</v>
      </c>
      <c r="T243">
        <v>6919</v>
      </c>
      <c r="U243">
        <v>6924.95125835811</v>
      </c>
      <c r="V243">
        <v>-375</v>
      </c>
      <c r="W243">
        <v>82.873042902387695</v>
      </c>
      <c r="X243">
        <v>11077</v>
      </c>
      <c r="Y243">
        <v>22187.574183214801</v>
      </c>
      <c r="Z243">
        <v>-4624.3138307972104</v>
      </c>
      <c r="AA243">
        <v>-321.70932704991202</v>
      </c>
      <c r="AC243">
        <v>13100.4080753789</v>
      </c>
      <c r="AD243">
        <v>-2076</v>
      </c>
      <c r="AE243">
        <v>2916.5445494095802</v>
      </c>
      <c r="AF243">
        <v>-2967</v>
      </c>
      <c r="AG243">
        <v>1474</v>
      </c>
      <c r="AH243">
        <v>5207.3601022520597</v>
      </c>
      <c r="AI243">
        <v>1560</v>
      </c>
      <c r="AJ243">
        <v>472</v>
      </c>
      <c r="AK243">
        <v>-1269.7059081699799</v>
      </c>
      <c r="AL243">
        <v>2316.6707876271898</v>
      </c>
      <c r="AM243">
        <v>-1899.5481432126901</v>
      </c>
      <c r="AN243">
        <v>-2609.4362024483098</v>
      </c>
      <c r="AP243">
        <v>7382.3780015455004</v>
      </c>
      <c r="AQ243">
        <v>2175.0792276799598</v>
      </c>
      <c r="AR243">
        <v>-10279.861460411101</v>
      </c>
      <c r="AS243">
        <v>-1962.7019724638801</v>
      </c>
      <c r="AT243">
        <v>-1250.3121621072401</v>
      </c>
      <c r="AU243">
        <v>8168.9916212402604</v>
      </c>
      <c r="AV243">
        <v>-11520</v>
      </c>
      <c r="AW243">
        <v>1420</v>
      </c>
      <c r="AX243">
        <v>1655</v>
      </c>
      <c r="AY243">
        <v>0</v>
      </c>
      <c r="AZ243">
        <v>372.83616000000399</v>
      </c>
      <c r="BA243">
        <v>-84.782879999991707</v>
      </c>
      <c r="BB243">
        <v>23186.524487652801</v>
      </c>
      <c r="BC243">
        <v>2054</v>
      </c>
      <c r="BE243">
        <f t="shared" si="6"/>
        <v>109319.96779540941</v>
      </c>
      <c r="BF243">
        <f t="shared" si="7"/>
        <v>48472704.578036927</v>
      </c>
    </row>
    <row r="244" spans="1:58" x14ac:dyDescent="0.2">
      <c r="A244" s="1">
        <v>45526</v>
      </c>
      <c r="B244">
        <v>9935.76667972629</v>
      </c>
      <c r="C244">
        <v>22520.635544640802</v>
      </c>
      <c r="D244">
        <v>-1369.20808504207</v>
      </c>
      <c r="E244">
        <v>874.97418483600302</v>
      </c>
      <c r="F244">
        <v>-77</v>
      </c>
      <c r="G244">
        <v>13207.9999999999</v>
      </c>
      <c r="H244">
        <v>265.41749890035999</v>
      </c>
      <c r="I244">
        <v>0</v>
      </c>
      <c r="J244">
        <v>13502</v>
      </c>
      <c r="K244">
        <v>1536.1868313769801</v>
      </c>
      <c r="L244">
        <v>19308.217500907202</v>
      </c>
      <c r="M244">
        <v>1570.16030976856</v>
      </c>
      <c r="N244">
        <v>-8670.3846400000293</v>
      </c>
      <c r="O244">
        <v>5539.5323760788697</v>
      </c>
      <c r="P244">
        <v>8322.6237035534396</v>
      </c>
      <c r="Q244">
        <v>3412.6269262400201</v>
      </c>
      <c r="R244">
        <v>10485.305476785899</v>
      </c>
      <c r="S244">
        <v>2515.9227079440502</v>
      </c>
      <c r="T244">
        <v>13440.549821340401</v>
      </c>
      <c r="U244">
        <v>13784.8001913606</v>
      </c>
      <c r="V244">
        <v>16050</v>
      </c>
      <c r="W244">
        <v>-2074.68215070019</v>
      </c>
      <c r="X244">
        <v>19057</v>
      </c>
      <c r="Y244">
        <v>20580</v>
      </c>
      <c r="Z244">
        <v>10857</v>
      </c>
      <c r="AA244">
        <v>16556.63061615</v>
      </c>
      <c r="AC244">
        <v>23508</v>
      </c>
      <c r="AD244">
        <v>384</v>
      </c>
      <c r="AE244">
        <v>2382.55307025811</v>
      </c>
      <c r="AF244">
        <v>11137</v>
      </c>
      <c r="AG244">
        <v>4786</v>
      </c>
      <c r="AH244">
        <v>7477.3847248032998</v>
      </c>
      <c r="AI244">
        <v>-209.522793706524</v>
      </c>
      <c r="AJ244">
        <v>6254</v>
      </c>
      <c r="AK244">
        <v>3248.7302304505802</v>
      </c>
      <c r="AL244">
        <v>41956.819608272002</v>
      </c>
      <c r="AM244">
        <v>6769.7041316844998</v>
      </c>
      <c r="AN244">
        <v>7018</v>
      </c>
      <c r="AP244">
        <v>24318.0529862966</v>
      </c>
      <c r="AQ244">
        <v>1773.44303877578</v>
      </c>
      <c r="AR244">
        <v>24319</v>
      </c>
      <c r="AS244">
        <v>18520</v>
      </c>
      <c r="AT244">
        <v>1282.2223123619201</v>
      </c>
      <c r="AU244">
        <v>-320</v>
      </c>
      <c r="AV244">
        <v>4320</v>
      </c>
      <c r="AW244">
        <v>7373.7755091895797</v>
      </c>
      <c r="AX244">
        <v>4349.6290299635502</v>
      </c>
      <c r="AY244">
        <v>0</v>
      </c>
      <c r="AZ244">
        <v>2025.2755200000099</v>
      </c>
      <c r="BA244">
        <v>582.32717999999795</v>
      </c>
      <c r="BB244">
        <v>12000</v>
      </c>
      <c r="BC244">
        <v>14378</v>
      </c>
      <c r="BE244">
        <f t="shared" si="6"/>
        <v>440766.47004221653</v>
      </c>
      <c r="BF244">
        <f t="shared" si="7"/>
        <v>48913471.04807914</v>
      </c>
    </row>
    <row r="245" spans="1:58" x14ac:dyDescent="0.2">
      <c r="A245" s="1">
        <v>45527</v>
      </c>
      <c r="B245">
        <v>16659.6229270738</v>
      </c>
      <c r="C245">
        <v>7986</v>
      </c>
      <c r="D245">
        <v>8367.8794989469206</v>
      </c>
      <c r="E245">
        <v>1860</v>
      </c>
      <c r="F245">
        <v>-1397.74529942148</v>
      </c>
      <c r="G245">
        <v>415.99999999995401</v>
      </c>
      <c r="H245">
        <v>6488.6887724360404</v>
      </c>
      <c r="I245">
        <v>0</v>
      </c>
      <c r="J245">
        <v>23478</v>
      </c>
      <c r="K245">
        <v>3603.1165601048301</v>
      </c>
      <c r="L245">
        <v>12977.0489595129</v>
      </c>
      <c r="M245">
        <v>-1560</v>
      </c>
      <c r="N245">
        <v>10305.5288799999</v>
      </c>
      <c r="O245">
        <v>-4998.00000000001</v>
      </c>
      <c r="P245">
        <v>35889.155864352899</v>
      </c>
      <c r="Q245">
        <v>23433.6809109022</v>
      </c>
      <c r="R245">
        <v>16080.136564934201</v>
      </c>
      <c r="S245">
        <v>15545.208376230101</v>
      </c>
      <c r="T245">
        <v>26328</v>
      </c>
      <c r="U245">
        <v>12146.964583708599</v>
      </c>
      <c r="V245">
        <v>17100</v>
      </c>
      <c r="W245">
        <v>18914.2452478294</v>
      </c>
      <c r="X245">
        <v>26828</v>
      </c>
      <c r="Y245">
        <v>12712</v>
      </c>
      <c r="Z245">
        <v>11997.6474073679</v>
      </c>
      <c r="AA245">
        <v>19727.2622984792</v>
      </c>
      <c r="AC245">
        <v>25248</v>
      </c>
      <c r="AD245">
        <v>828</v>
      </c>
      <c r="AE245">
        <v>15840.3030747594</v>
      </c>
      <c r="AF245">
        <v>2236</v>
      </c>
      <c r="AG245">
        <v>-894</v>
      </c>
      <c r="AH245">
        <v>-1581.77839607597</v>
      </c>
      <c r="AI245">
        <v>3543.4069830788999</v>
      </c>
      <c r="AJ245">
        <v>-944</v>
      </c>
      <c r="AK245">
        <v>13982.145500000001</v>
      </c>
      <c r="AL245">
        <v>-990</v>
      </c>
      <c r="AM245">
        <v>15176.8716471841</v>
      </c>
      <c r="AN245">
        <v>14229.320496193701</v>
      </c>
      <c r="AP245">
        <v>20700</v>
      </c>
      <c r="AQ245">
        <v>20859.9623084175</v>
      </c>
      <c r="AR245">
        <v>65632</v>
      </c>
      <c r="AS245">
        <v>20360</v>
      </c>
      <c r="AT245">
        <v>8007.1684975214703</v>
      </c>
      <c r="AU245">
        <v>-2640</v>
      </c>
      <c r="AV245">
        <v>65952</v>
      </c>
      <c r="AW245">
        <v>15485.3222126744</v>
      </c>
      <c r="AX245">
        <v>-3304</v>
      </c>
      <c r="AY245">
        <v>0</v>
      </c>
      <c r="AZ245">
        <v>-643.41179999997598</v>
      </c>
      <c r="BA245">
        <v>56.908710000002102</v>
      </c>
      <c r="BB245">
        <v>19080</v>
      </c>
      <c r="BC245">
        <v>16116</v>
      </c>
      <c r="BE245">
        <f t="shared" si="6"/>
        <v>653224.66078621079</v>
      </c>
      <c r="BF245">
        <f t="shared" si="7"/>
        <v>49566695.708865352</v>
      </c>
    </row>
    <row r="246" spans="1:58" x14ac:dyDescent="0.2">
      <c r="A246" s="1">
        <v>45530</v>
      </c>
      <c r="B246">
        <v>-12053.4454837136</v>
      </c>
      <c r="C246">
        <v>-17429.6885424422</v>
      </c>
      <c r="D246">
        <v>-13260.384009743</v>
      </c>
      <c r="E246">
        <v>-2320</v>
      </c>
      <c r="F246">
        <v>7878</v>
      </c>
      <c r="G246">
        <v>8424.00000000004</v>
      </c>
      <c r="H246">
        <v>-2681.7158615932399</v>
      </c>
      <c r="I246">
        <v>0</v>
      </c>
      <c r="J246">
        <v>-15910</v>
      </c>
      <c r="K246">
        <v>-4124.8786637062403</v>
      </c>
      <c r="L246">
        <v>-39075.451863335802</v>
      </c>
      <c r="M246">
        <v>-941.19999999999504</v>
      </c>
      <c r="N246">
        <v>2638.11455999993</v>
      </c>
      <c r="O246">
        <v>-2755.3193625977201</v>
      </c>
      <c r="P246">
        <v>-18650.8288365021</v>
      </c>
      <c r="Q246">
        <v>-22680</v>
      </c>
      <c r="R246">
        <v>-21102.891331477302</v>
      </c>
      <c r="S246">
        <v>4455</v>
      </c>
      <c r="T246">
        <v>-20004</v>
      </c>
      <c r="U246">
        <v>-21007.612291887301</v>
      </c>
      <c r="V246">
        <v>-29206.163532064202</v>
      </c>
      <c r="W246">
        <v>-23405</v>
      </c>
      <c r="X246">
        <v>-5415</v>
      </c>
      <c r="Y246">
        <v>-10674.5733847843</v>
      </c>
      <c r="Z246">
        <v>15481.0943926689</v>
      </c>
      <c r="AA246">
        <v>-34443.446677428597</v>
      </c>
      <c r="AC246">
        <v>-54042</v>
      </c>
      <c r="AD246">
        <v>-1642.4259671909499</v>
      </c>
      <c r="AE246">
        <v>-10631.971232112401</v>
      </c>
      <c r="AF246">
        <v>-907.51355231792695</v>
      </c>
      <c r="AG246">
        <v>-2744</v>
      </c>
      <c r="AH246">
        <v>-11488.1225100751</v>
      </c>
      <c r="AI246">
        <v>2012.0272473887201</v>
      </c>
      <c r="AJ246">
        <v>-16656.804724739199</v>
      </c>
      <c r="AK246">
        <v>-13969.183000000001</v>
      </c>
      <c r="AL246">
        <v>-26928</v>
      </c>
      <c r="AM246">
        <v>-16675</v>
      </c>
      <c r="AN246">
        <v>-16909.739552147399</v>
      </c>
      <c r="AP246">
        <v>-7380</v>
      </c>
      <c r="AQ246">
        <v>-22360</v>
      </c>
      <c r="AR246">
        <v>-36428.7115223457</v>
      </c>
      <c r="AS246">
        <v>-19440</v>
      </c>
      <c r="AT246">
        <v>-7263.5478103510004</v>
      </c>
      <c r="AU246">
        <v>1105.53968627883</v>
      </c>
      <c r="AV246">
        <v>6717.9363357331404</v>
      </c>
      <c r="AW246">
        <v>-13859.7541157666</v>
      </c>
      <c r="AX246">
        <v>-1644</v>
      </c>
      <c r="AY246">
        <v>0</v>
      </c>
      <c r="AZ246">
        <v>1985.3379270635701</v>
      </c>
      <c r="BA246">
        <v>-583.00770000000398</v>
      </c>
      <c r="BB246">
        <v>-26040</v>
      </c>
      <c r="BC246">
        <v>-21804</v>
      </c>
      <c r="BE246">
        <f t="shared" si="6"/>
        <v>-595842.33137918869</v>
      </c>
      <c r="BF246">
        <f t="shared" si="7"/>
        <v>48970853.377486162</v>
      </c>
    </row>
    <row r="247" spans="1:58" x14ac:dyDescent="0.2">
      <c r="A247" s="1">
        <v>45531</v>
      </c>
      <c r="B247">
        <v>16610</v>
      </c>
      <c r="C247">
        <v>27084</v>
      </c>
      <c r="D247">
        <v>-1562</v>
      </c>
      <c r="E247">
        <v>1280</v>
      </c>
      <c r="F247">
        <v>-818.08784616579499</v>
      </c>
      <c r="G247">
        <v>-7966.4564103697803</v>
      </c>
      <c r="H247">
        <v>4207.5365847249795</v>
      </c>
      <c r="I247">
        <v>-16.331154894351599</v>
      </c>
      <c r="J247">
        <v>10965</v>
      </c>
      <c r="K247">
        <v>2134</v>
      </c>
      <c r="L247">
        <v>8959.7898239260503</v>
      </c>
      <c r="M247">
        <v>-570.87945458068305</v>
      </c>
      <c r="N247">
        <v>-366.40480000000002</v>
      </c>
      <c r="O247">
        <v>-2634.5068843436802</v>
      </c>
      <c r="P247">
        <v>8291.9310919969594</v>
      </c>
      <c r="Q247">
        <v>-4336.9321130739299</v>
      </c>
      <c r="R247">
        <v>10032</v>
      </c>
      <c r="S247">
        <v>4455</v>
      </c>
      <c r="T247">
        <v>4320</v>
      </c>
      <c r="U247">
        <v>13390</v>
      </c>
      <c r="V247">
        <v>15068.7244535721</v>
      </c>
      <c r="W247">
        <v>7998</v>
      </c>
      <c r="X247">
        <v>8265</v>
      </c>
      <c r="Y247">
        <v>2494</v>
      </c>
      <c r="Z247">
        <v>27694.684246610999</v>
      </c>
      <c r="AA247">
        <v>14152.160714821801</v>
      </c>
      <c r="AC247">
        <v>5321.3805529388401</v>
      </c>
      <c r="AD247">
        <v>-238</v>
      </c>
      <c r="AE247">
        <v>-1012</v>
      </c>
      <c r="AF247">
        <v>-4580.5168227638496</v>
      </c>
      <c r="AG247">
        <v>136</v>
      </c>
      <c r="AH247">
        <v>-2912</v>
      </c>
      <c r="AI247">
        <v>-369.414496816324</v>
      </c>
      <c r="AJ247">
        <v>3989.0778463258098</v>
      </c>
      <c r="AK247">
        <v>9160.1200000000008</v>
      </c>
      <c r="AL247">
        <v>13957.1611172791</v>
      </c>
      <c r="AM247">
        <v>11000</v>
      </c>
      <c r="AN247">
        <v>10656</v>
      </c>
      <c r="AP247">
        <v>24300</v>
      </c>
      <c r="AQ247">
        <v>-13244</v>
      </c>
      <c r="AR247">
        <v>3748.6047678284699</v>
      </c>
      <c r="AS247">
        <v>8860</v>
      </c>
      <c r="AT247">
        <v>432</v>
      </c>
      <c r="AU247">
        <v>-488</v>
      </c>
      <c r="AV247">
        <v>-32706</v>
      </c>
      <c r="AW247">
        <v>-1986</v>
      </c>
      <c r="AX247">
        <v>-1844</v>
      </c>
      <c r="AY247">
        <v>0</v>
      </c>
      <c r="AZ247">
        <v>-1177.48810557551</v>
      </c>
      <c r="BA247">
        <v>307.17610000000502</v>
      </c>
      <c r="BB247">
        <v>13426.3887583572</v>
      </c>
      <c r="BC247">
        <v>16248.795496463799</v>
      </c>
      <c r="BE247">
        <f t="shared" si="6"/>
        <v>230115.51346626229</v>
      </c>
      <c r="BF247">
        <f t="shared" si="7"/>
        <v>49200968.890952423</v>
      </c>
    </row>
    <row r="248" spans="1:58" x14ac:dyDescent="0.2">
      <c r="A248" s="1">
        <v>45532</v>
      </c>
      <c r="B248">
        <v>28468</v>
      </c>
      <c r="C248">
        <v>10004</v>
      </c>
      <c r="D248">
        <v>-6248</v>
      </c>
      <c r="E248">
        <v>1040</v>
      </c>
      <c r="F248">
        <v>282.96672120517098</v>
      </c>
      <c r="G248">
        <v>-1830.00000000006</v>
      </c>
      <c r="H248">
        <v>2842.4774306137401</v>
      </c>
      <c r="I248">
        <v>-634.32755252810296</v>
      </c>
      <c r="J248">
        <v>2709</v>
      </c>
      <c r="K248">
        <v>902</v>
      </c>
      <c r="L248">
        <v>-188.09194671755799</v>
      </c>
      <c r="M248">
        <v>95.956958255833797</v>
      </c>
      <c r="N248">
        <v>-2457.19724461036</v>
      </c>
      <c r="O248">
        <v>2944.3872355610602</v>
      </c>
      <c r="P248">
        <v>13725</v>
      </c>
      <c r="Q248">
        <v>-2616.9193000330401</v>
      </c>
      <c r="R248">
        <v>6992</v>
      </c>
      <c r="S248">
        <v>3267</v>
      </c>
      <c r="T248">
        <v>14904</v>
      </c>
      <c r="U248">
        <v>11536</v>
      </c>
      <c r="V248">
        <v>9375</v>
      </c>
      <c r="W248">
        <v>4898</v>
      </c>
      <c r="X248">
        <v>12008</v>
      </c>
      <c r="Y248">
        <v>4176</v>
      </c>
      <c r="Z248">
        <v>34545</v>
      </c>
      <c r="AA248">
        <v>9664.00000000008</v>
      </c>
      <c r="AC248">
        <v>7113</v>
      </c>
      <c r="AD248">
        <v>784</v>
      </c>
      <c r="AE248">
        <v>8188</v>
      </c>
      <c r="AF248">
        <v>6525</v>
      </c>
      <c r="AG248">
        <v>7602</v>
      </c>
      <c r="AH248">
        <v>9568</v>
      </c>
      <c r="AI248">
        <v>3721.5550568655999</v>
      </c>
      <c r="AJ248">
        <v>409.69248004856502</v>
      </c>
      <c r="AK248">
        <v>3212.1075000000001</v>
      </c>
      <c r="AL248">
        <v>1909.79923218864</v>
      </c>
      <c r="AM248">
        <v>-1600</v>
      </c>
      <c r="AN248">
        <v>-2136</v>
      </c>
      <c r="AP248">
        <v>65880</v>
      </c>
      <c r="AQ248">
        <v>-4429.0420018596697</v>
      </c>
      <c r="AR248">
        <v>31155.702114244301</v>
      </c>
      <c r="AS248">
        <v>680</v>
      </c>
      <c r="AT248">
        <v>-2304</v>
      </c>
      <c r="AU248">
        <v>-453.39542798955898</v>
      </c>
      <c r="AV248">
        <v>-21736.613871523801</v>
      </c>
      <c r="AW248">
        <v>-662</v>
      </c>
      <c r="AX248">
        <v>1217.6297559086399</v>
      </c>
      <c r="AY248">
        <v>0</v>
      </c>
      <c r="AZ248">
        <v>3949.1561199999801</v>
      </c>
      <c r="BA248">
        <v>-358.144640000001</v>
      </c>
      <c r="BB248">
        <v>7656</v>
      </c>
      <c r="BC248">
        <v>18871.356464075801</v>
      </c>
      <c r="BE248">
        <f t="shared" si="6"/>
        <v>305168.05508370523</v>
      </c>
      <c r="BF248">
        <f t="shared" si="7"/>
        <v>49506136.94603613</v>
      </c>
    </row>
    <row r="249" spans="1:58" x14ac:dyDescent="0.2">
      <c r="A249" s="1">
        <v>45533</v>
      </c>
      <c r="B249">
        <v>2332</v>
      </c>
      <c r="C249">
        <v>-3904</v>
      </c>
      <c r="D249">
        <v>704.40945575941305</v>
      </c>
      <c r="E249">
        <v>200</v>
      </c>
      <c r="F249">
        <v>-4392.7322549015798</v>
      </c>
      <c r="G249">
        <v>-2744.99999999999</v>
      </c>
      <c r="H249">
        <v>7261.6840555399303</v>
      </c>
      <c r="I249">
        <v>992</v>
      </c>
      <c r="J249">
        <v>4902</v>
      </c>
      <c r="K249">
        <v>2750</v>
      </c>
      <c r="L249">
        <v>-23940</v>
      </c>
      <c r="M249">
        <v>706.84187567404797</v>
      </c>
      <c r="N249">
        <v>4391.0735999999497</v>
      </c>
      <c r="O249">
        <v>-2174.99999999999</v>
      </c>
      <c r="P249">
        <v>5625</v>
      </c>
      <c r="Q249">
        <v>10483.052499821601</v>
      </c>
      <c r="R249">
        <v>18544</v>
      </c>
      <c r="S249">
        <v>-4753.3756310368699</v>
      </c>
      <c r="T249">
        <v>-5616</v>
      </c>
      <c r="U249">
        <v>-15965</v>
      </c>
      <c r="V249">
        <v>-8025</v>
      </c>
      <c r="W249">
        <v>3782</v>
      </c>
      <c r="X249">
        <v>-4389</v>
      </c>
      <c r="Y249">
        <v>754</v>
      </c>
      <c r="Z249">
        <v>31566.2965130788</v>
      </c>
      <c r="AA249">
        <v>-8432.0000000001091</v>
      </c>
      <c r="AC249">
        <v>-7842</v>
      </c>
      <c r="AD249">
        <v>70</v>
      </c>
      <c r="AE249">
        <v>-3588</v>
      </c>
      <c r="AF249">
        <v>10930.4621814741</v>
      </c>
      <c r="AG249">
        <v>3776</v>
      </c>
      <c r="AH249">
        <v>1664</v>
      </c>
      <c r="AI249">
        <v>-1765.71763365422</v>
      </c>
      <c r="AJ249">
        <v>-135.074842597057</v>
      </c>
      <c r="AK249">
        <v>-686.10524999999996</v>
      </c>
      <c r="AL249">
        <v>2076</v>
      </c>
      <c r="AM249">
        <v>3325</v>
      </c>
      <c r="AN249">
        <v>4464</v>
      </c>
      <c r="AP249">
        <v>32491.153181595899</v>
      </c>
      <c r="AQ249">
        <v>8517.7902716491899</v>
      </c>
      <c r="AR249">
        <v>13116.322842706801</v>
      </c>
      <c r="AS249">
        <v>4360</v>
      </c>
      <c r="AT249">
        <v>576</v>
      </c>
      <c r="AU249">
        <v>71.461927024272896</v>
      </c>
      <c r="AV249">
        <v>122.179046724405</v>
      </c>
      <c r="AW249">
        <v>4303</v>
      </c>
      <c r="AX249">
        <v>-2115</v>
      </c>
      <c r="AY249">
        <v>-195.67542546074199</v>
      </c>
      <c r="AZ249">
        <v>-4146.2336594127501</v>
      </c>
      <c r="BA249">
        <v>701.70425999998997</v>
      </c>
      <c r="BB249">
        <v>696</v>
      </c>
      <c r="BC249">
        <v>-8700</v>
      </c>
      <c r="BE249">
        <f t="shared" si="6"/>
        <v>72744.517013985067</v>
      </c>
      <c r="BF249">
        <f t="shared" si="7"/>
        <v>49578881.463050112</v>
      </c>
    </row>
    <row r="250" spans="1:58" x14ac:dyDescent="0.2">
      <c r="A250" s="1">
        <v>45534</v>
      </c>
      <c r="B250">
        <v>-176</v>
      </c>
      <c r="C250">
        <v>10492</v>
      </c>
      <c r="D250">
        <v>15925.259392558</v>
      </c>
      <c r="E250">
        <v>220</v>
      </c>
      <c r="F250">
        <v>18500</v>
      </c>
      <c r="G250">
        <v>-5612.00000000003</v>
      </c>
      <c r="H250">
        <v>-1989.5657101424399</v>
      </c>
      <c r="I250">
        <v>-912</v>
      </c>
      <c r="J250">
        <v>11223</v>
      </c>
      <c r="K250">
        <v>32394.891792902199</v>
      </c>
      <c r="L250">
        <v>22467.725111606102</v>
      </c>
      <c r="M250">
        <v>-911.09146080514597</v>
      </c>
      <c r="N250">
        <v>-9053.0450999998702</v>
      </c>
      <c r="O250">
        <v>924.16625363291996</v>
      </c>
      <c r="P250">
        <v>7800</v>
      </c>
      <c r="Q250">
        <v>13920</v>
      </c>
      <c r="R250">
        <v>-2736</v>
      </c>
      <c r="S250">
        <v>11026</v>
      </c>
      <c r="T250">
        <v>9624</v>
      </c>
      <c r="U250">
        <v>23473.773703561099</v>
      </c>
      <c r="V250">
        <v>27525</v>
      </c>
      <c r="W250">
        <v>14942</v>
      </c>
      <c r="X250">
        <v>-4997</v>
      </c>
      <c r="Y250">
        <v>14725.396536145399</v>
      </c>
      <c r="Z250">
        <v>-12262.7892237421</v>
      </c>
      <c r="AA250">
        <v>29200</v>
      </c>
      <c r="AC250">
        <v>6093</v>
      </c>
      <c r="AD250">
        <v>875</v>
      </c>
      <c r="AE250">
        <v>16468</v>
      </c>
      <c r="AF250">
        <v>8500.8857191037405</v>
      </c>
      <c r="AG250">
        <v>3714</v>
      </c>
      <c r="AH250">
        <v>16848</v>
      </c>
      <c r="AI250">
        <v>4149.6639794846797</v>
      </c>
      <c r="AJ250">
        <v>2008.2084566102501</v>
      </c>
      <c r="AK250">
        <v>13030.89825</v>
      </c>
      <c r="AL250">
        <v>21971</v>
      </c>
      <c r="AM250">
        <v>9550</v>
      </c>
      <c r="AN250">
        <v>9432</v>
      </c>
      <c r="AP250">
        <v>-3172</v>
      </c>
      <c r="AQ250">
        <v>3755.3664404915498</v>
      </c>
      <c r="AR250">
        <v>15120</v>
      </c>
      <c r="AS250">
        <v>11340</v>
      </c>
      <c r="AT250">
        <v>-1728</v>
      </c>
      <c r="AU250">
        <v>-49</v>
      </c>
      <c r="AV250">
        <v>8205.7480679616401</v>
      </c>
      <c r="AW250">
        <v>15557</v>
      </c>
      <c r="AX250">
        <v>898.60596574262695</v>
      </c>
      <c r="AY250">
        <v>-7418.8623600000801</v>
      </c>
      <c r="AZ250">
        <v>-1821.7415999999901</v>
      </c>
      <c r="BA250">
        <v>101.450399999997</v>
      </c>
      <c r="BB250">
        <v>12296</v>
      </c>
      <c r="BC250">
        <v>7189.0331176030604</v>
      </c>
      <c r="BE250">
        <f t="shared" si="6"/>
        <v>398647.97773271363</v>
      </c>
      <c r="BF250">
        <f t="shared" si="7"/>
        <v>49977529.440782823</v>
      </c>
    </row>
    <row r="251" spans="1:58" x14ac:dyDescent="0.2">
      <c r="A251" s="1">
        <v>45537</v>
      </c>
      <c r="B251">
        <v>23056</v>
      </c>
      <c r="C251">
        <v>62830</v>
      </c>
      <c r="D251">
        <v>11312</v>
      </c>
      <c r="E251">
        <v>4605.2162105111902</v>
      </c>
      <c r="F251">
        <v>72700</v>
      </c>
      <c r="G251">
        <v>3964.99999999996</v>
      </c>
      <c r="H251">
        <v>1993.8371904217199</v>
      </c>
      <c r="I251">
        <v>-1946</v>
      </c>
      <c r="J251">
        <v>37883</v>
      </c>
      <c r="K251">
        <v>3061.94976042091</v>
      </c>
      <c r="L251">
        <v>1738.7753136328699</v>
      </c>
      <c r="M251">
        <v>-1722</v>
      </c>
      <c r="N251">
        <v>-1960.5162000000801</v>
      </c>
      <c r="O251">
        <v>1419.99999999999</v>
      </c>
      <c r="P251">
        <v>21975</v>
      </c>
      <c r="Q251">
        <v>26880</v>
      </c>
      <c r="R251">
        <v>36784</v>
      </c>
      <c r="S251">
        <v>10430</v>
      </c>
      <c r="T251">
        <v>31344</v>
      </c>
      <c r="U251">
        <v>28504.276195496299</v>
      </c>
      <c r="V251">
        <v>31725</v>
      </c>
      <c r="W251">
        <v>36115</v>
      </c>
      <c r="X251">
        <v>-2945</v>
      </c>
      <c r="Y251">
        <v>17603.343946406199</v>
      </c>
      <c r="Z251">
        <v>1517.49012684532</v>
      </c>
      <c r="AA251">
        <v>33496.725513292797</v>
      </c>
      <c r="AC251">
        <v>6786</v>
      </c>
      <c r="AD251">
        <v>1414</v>
      </c>
      <c r="AE251">
        <v>10856</v>
      </c>
      <c r="AF251">
        <v>23745.929268740801</v>
      </c>
      <c r="AG251">
        <v>13600.4377314209</v>
      </c>
      <c r="AH251">
        <v>24319.357056057899</v>
      </c>
      <c r="AI251">
        <v>310.85509842598401</v>
      </c>
      <c r="AJ251">
        <v>4929</v>
      </c>
      <c r="AK251">
        <v>12310.218000000001</v>
      </c>
      <c r="AL251">
        <v>12802</v>
      </c>
      <c r="AM251">
        <v>27100</v>
      </c>
      <c r="AN251">
        <v>26112</v>
      </c>
      <c r="AP251">
        <v>4026</v>
      </c>
      <c r="AQ251">
        <v>15360</v>
      </c>
      <c r="AR251">
        <v>35490</v>
      </c>
      <c r="AS251">
        <v>33580</v>
      </c>
      <c r="AT251">
        <v>19681.282081016001</v>
      </c>
      <c r="AU251">
        <v>581</v>
      </c>
      <c r="AV251">
        <v>1376</v>
      </c>
      <c r="AW251">
        <v>19529</v>
      </c>
      <c r="AX251">
        <v>1762</v>
      </c>
      <c r="AY251">
        <v>-777.53295808949804</v>
      </c>
      <c r="AZ251">
        <v>-2923.1350400000501</v>
      </c>
      <c r="BA251">
        <v>-711.80620999999701</v>
      </c>
      <c r="BB251">
        <v>31900</v>
      </c>
      <c r="BC251">
        <v>21903</v>
      </c>
      <c r="BE251">
        <f t="shared" si="6"/>
        <v>837428.70308459923</v>
      </c>
      <c r="BF251">
        <f t="shared" si="7"/>
        <v>50814958.143867418</v>
      </c>
    </row>
    <row r="252" spans="1:58" x14ac:dyDescent="0.2">
      <c r="A252" s="1">
        <v>45538</v>
      </c>
      <c r="B252">
        <v>11418</v>
      </c>
      <c r="C252">
        <v>-4431.3435603607704</v>
      </c>
      <c r="D252">
        <v>-6363</v>
      </c>
      <c r="E252">
        <v>409.62181161657998</v>
      </c>
      <c r="F252">
        <v>14696.3882402974</v>
      </c>
      <c r="G252">
        <v>2867.00000000003</v>
      </c>
      <c r="H252">
        <v>-18943.7626877847</v>
      </c>
      <c r="I252">
        <v>-2570</v>
      </c>
      <c r="J252">
        <v>16633.934819144601</v>
      </c>
      <c r="K252">
        <v>1862</v>
      </c>
      <c r="L252">
        <v>8475</v>
      </c>
      <c r="M252">
        <v>-2593.5</v>
      </c>
      <c r="N252">
        <v>-8024.43839999995</v>
      </c>
      <c r="O252">
        <v>3060</v>
      </c>
      <c r="P252">
        <v>4200</v>
      </c>
      <c r="Q252">
        <v>17280</v>
      </c>
      <c r="R252">
        <v>-5553.5893287246699</v>
      </c>
      <c r="S252">
        <v>-2086</v>
      </c>
      <c r="T252">
        <v>-10320.508057893099</v>
      </c>
      <c r="U252">
        <v>-298.29541853641899</v>
      </c>
      <c r="V252">
        <v>6000</v>
      </c>
      <c r="W252">
        <v>-3503</v>
      </c>
      <c r="X252">
        <v>-3325</v>
      </c>
      <c r="Y252">
        <v>1674</v>
      </c>
      <c r="Z252">
        <v>422</v>
      </c>
      <c r="AA252">
        <v>5981.3623405358503</v>
      </c>
      <c r="AC252">
        <v>1677</v>
      </c>
      <c r="AD252">
        <v>346.88396486433999</v>
      </c>
      <c r="AE252">
        <v>-576.22725647203299</v>
      </c>
      <c r="AF252">
        <v>255</v>
      </c>
      <c r="AG252">
        <v>3207</v>
      </c>
      <c r="AH252">
        <v>-6420</v>
      </c>
      <c r="AI252">
        <v>-4060.0963192506101</v>
      </c>
      <c r="AJ252">
        <v>132.82857949423899</v>
      </c>
      <c r="AK252">
        <v>-683.90099999999995</v>
      </c>
      <c r="AL252">
        <v>14705</v>
      </c>
      <c r="AM252">
        <v>10025</v>
      </c>
      <c r="AN252">
        <v>7608</v>
      </c>
      <c r="AP252">
        <v>-4270</v>
      </c>
      <c r="AQ252">
        <v>1088</v>
      </c>
      <c r="AR252">
        <v>1470</v>
      </c>
      <c r="AS252">
        <v>8580</v>
      </c>
      <c r="AT252">
        <v>-2025</v>
      </c>
      <c r="AU252">
        <v>197.00298484719499</v>
      </c>
      <c r="AV252">
        <v>22360</v>
      </c>
      <c r="AW252">
        <v>-4303</v>
      </c>
      <c r="AX252">
        <v>1780</v>
      </c>
      <c r="AY252">
        <v>0</v>
      </c>
      <c r="AZ252">
        <v>257.92368000006701</v>
      </c>
      <c r="BA252">
        <v>-787.39625000000001</v>
      </c>
      <c r="BB252">
        <v>3128.54600834963</v>
      </c>
      <c r="BC252">
        <v>7350</v>
      </c>
      <c r="BE252">
        <f t="shared" si="6"/>
        <v>88009.434150127679</v>
      </c>
      <c r="BF252">
        <f t="shared" si="7"/>
        <v>50902967.578017548</v>
      </c>
    </row>
    <row r="253" spans="1:58" x14ac:dyDescent="0.2">
      <c r="A253" s="1">
        <v>45539</v>
      </c>
      <c r="B253">
        <v>-23386</v>
      </c>
      <c r="C253">
        <v>-26112</v>
      </c>
      <c r="D253">
        <v>-5656</v>
      </c>
      <c r="E253">
        <v>-4214.8964927918796</v>
      </c>
      <c r="F253">
        <v>-21356</v>
      </c>
      <c r="G253">
        <v>-20556.999999999902</v>
      </c>
      <c r="H253">
        <v>-4474.699404</v>
      </c>
      <c r="I253">
        <v>2700</v>
      </c>
      <c r="J253">
        <v>-17589</v>
      </c>
      <c r="K253">
        <v>-5282</v>
      </c>
      <c r="L253">
        <v>-6250</v>
      </c>
      <c r="M253">
        <v>1648.3770572224</v>
      </c>
      <c r="N253">
        <v>2025.02925</v>
      </c>
      <c r="O253">
        <v>-3324.77501842009</v>
      </c>
      <c r="P253">
        <v>-16125</v>
      </c>
      <c r="Q253">
        <v>-11040</v>
      </c>
      <c r="R253">
        <v>-5651.3251877022503</v>
      </c>
      <c r="S253">
        <v>-13410</v>
      </c>
      <c r="T253">
        <v>-4873</v>
      </c>
      <c r="U253">
        <v>-12144</v>
      </c>
      <c r="V253">
        <v>-26400</v>
      </c>
      <c r="W253">
        <v>-21514</v>
      </c>
      <c r="X253">
        <v>-6080</v>
      </c>
      <c r="Y253">
        <v>-17335.719147547501</v>
      </c>
      <c r="Z253">
        <v>-19623</v>
      </c>
      <c r="AA253">
        <v>-25882.5</v>
      </c>
      <c r="AC253">
        <v>-5355</v>
      </c>
      <c r="AD253">
        <v>-680.74637207050205</v>
      </c>
      <c r="AE253">
        <v>-13176.4193229384</v>
      </c>
      <c r="AF253">
        <v>-12699</v>
      </c>
      <c r="AG253">
        <v>-15741</v>
      </c>
      <c r="AH253">
        <v>-15622</v>
      </c>
      <c r="AI253">
        <v>-18130.9955712718</v>
      </c>
      <c r="AJ253">
        <v>-4515.5230793314904</v>
      </c>
      <c r="AK253">
        <v>-9900.143</v>
      </c>
      <c r="AL253">
        <v>-22836</v>
      </c>
      <c r="AM253">
        <v>-20675</v>
      </c>
      <c r="AN253">
        <v>-17880</v>
      </c>
      <c r="AP253">
        <v>-19764</v>
      </c>
      <c r="AQ253">
        <v>-11328</v>
      </c>
      <c r="AR253">
        <v>-30030</v>
      </c>
      <c r="AS253">
        <v>-37280</v>
      </c>
      <c r="AT253">
        <v>-6480</v>
      </c>
      <c r="AU253">
        <v>222.96688579215001</v>
      </c>
      <c r="AV253">
        <v>-6708</v>
      </c>
      <c r="AW253">
        <v>-18205</v>
      </c>
      <c r="AX253">
        <v>-1612</v>
      </c>
      <c r="AY253">
        <v>0</v>
      </c>
      <c r="AZ253">
        <v>2626.2282399999899</v>
      </c>
      <c r="BA253">
        <v>129.276840000004</v>
      </c>
      <c r="BB253">
        <v>-22770</v>
      </c>
      <c r="BC253">
        <v>-23226</v>
      </c>
      <c r="BE253">
        <f t="shared" si="6"/>
        <v>-643543.86432305933</v>
      </c>
      <c r="BF253">
        <f t="shared" si="7"/>
        <v>50259423.71369449</v>
      </c>
    </row>
    <row r="254" spans="1:58" x14ac:dyDescent="0.2">
      <c r="A254" s="1">
        <v>45540</v>
      </c>
      <c r="B254">
        <v>-10494</v>
      </c>
      <c r="C254">
        <v>-1055.20059564861</v>
      </c>
      <c r="D254">
        <v>-5656</v>
      </c>
      <c r="E254">
        <v>-2091</v>
      </c>
      <c r="F254">
        <v>-19331.941893498999</v>
      </c>
      <c r="G254">
        <v>346.988915494688</v>
      </c>
      <c r="H254">
        <v>-2971.531598</v>
      </c>
      <c r="I254">
        <v>-784</v>
      </c>
      <c r="J254">
        <v>-5214.1508124197999</v>
      </c>
      <c r="K254">
        <v>2565</v>
      </c>
      <c r="L254">
        <v>-4075</v>
      </c>
      <c r="M254">
        <v>-88.0420580325099</v>
      </c>
      <c r="N254">
        <v>5804.0728999999601</v>
      </c>
      <c r="O254">
        <v>2432.00000000001</v>
      </c>
      <c r="P254">
        <v>675</v>
      </c>
      <c r="Q254">
        <v>-13920</v>
      </c>
      <c r="R254">
        <v>-11277.037150632401</v>
      </c>
      <c r="S254">
        <v>894</v>
      </c>
      <c r="T254">
        <v>-2794</v>
      </c>
      <c r="U254">
        <v>-2305.1636668588199</v>
      </c>
      <c r="V254">
        <v>-2700</v>
      </c>
      <c r="W254">
        <v>13699.861708480399</v>
      </c>
      <c r="X254">
        <v>-1995</v>
      </c>
      <c r="Y254">
        <v>-8960</v>
      </c>
      <c r="Z254">
        <v>9623.5345050482592</v>
      </c>
      <c r="AA254">
        <v>-2186.1632119053602</v>
      </c>
      <c r="AC254">
        <v>-102</v>
      </c>
      <c r="AD254">
        <v>-1534.37651303966</v>
      </c>
      <c r="AE254">
        <v>-6900</v>
      </c>
      <c r="AF254">
        <v>1479</v>
      </c>
      <c r="AG254">
        <v>-3210</v>
      </c>
      <c r="AH254">
        <v>-7276</v>
      </c>
      <c r="AI254">
        <v>-14159.532787121299</v>
      </c>
      <c r="AJ254">
        <v>3002</v>
      </c>
      <c r="AK254">
        <v>-3987.5309999999999</v>
      </c>
      <c r="AL254">
        <v>12252.9342797561</v>
      </c>
      <c r="AM254">
        <v>-5450</v>
      </c>
      <c r="AN254">
        <v>-6120</v>
      </c>
      <c r="AP254">
        <v>-37600.374027501901</v>
      </c>
      <c r="AQ254">
        <v>-1152</v>
      </c>
      <c r="AR254">
        <v>-9944.5352214122904</v>
      </c>
      <c r="AS254">
        <v>7874.5395730762802</v>
      </c>
      <c r="AT254">
        <v>2025</v>
      </c>
      <c r="AU254">
        <v>-767.14611287103003</v>
      </c>
      <c r="AV254">
        <v>1548</v>
      </c>
      <c r="AW254">
        <v>662</v>
      </c>
      <c r="AX254">
        <v>882</v>
      </c>
      <c r="AY254">
        <v>1786.55584000003</v>
      </c>
      <c r="AZ254">
        <v>2660.3289599999798</v>
      </c>
      <c r="BA254">
        <v>57.404609349837102</v>
      </c>
      <c r="BB254">
        <v>-1547.3687436836001</v>
      </c>
      <c r="BC254">
        <v>7003.0594877048397</v>
      </c>
      <c r="BE254">
        <f t="shared" si="6"/>
        <v>-120375.81461371589</v>
      </c>
      <c r="BF254">
        <f t="shared" si="7"/>
        <v>50139047.899080776</v>
      </c>
    </row>
    <row r="255" spans="1:58" x14ac:dyDescent="0.2">
      <c r="A255" s="1">
        <v>45541</v>
      </c>
      <c r="B255">
        <v>2201.0754898813102</v>
      </c>
      <c r="C255">
        <v>-729</v>
      </c>
      <c r="D255">
        <v>3535</v>
      </c>
      <c r="E255">
        <v>-1173</v>
      </c>
      <c r="F255">
        <v>-4210.0315932417097</v>
      </c>
      <c r="G255">
        <v>-8288.3881607251496</v>
      </c>
      <c r="H255">
        <v>-12848.304452169999</v>
      </c>
      <c r="I255">
        <v>2274</v>
      </c>
      <c r="J255">
        <v>8420.4194458548409</v>
      </c>
      <c r="K255">
        <v>-817</v>
      </c>
      <c r="L255">
        <v>4150</v>
      </c>
      <c r="M255">
        <v>485.83287475909702</v>
      </c>
      <c r="N255">
        <v>-1823.0403999999501</v>
      </c>
      <c r="O255">
        <v>-3519.99999999998</v>
      </c>
      <c r="P255">
        <v>2175</v>
      </c>
      <c r="Q255">
        <v>4293.94107059421</v>
      </c>
      <c r="R255">
        <v>-1092.09450075564</v>
      </c>
      <c r="S255">
        <v>-894</v>
      </c>
      <c r="T255">
        <v>2530</v>
      </c>
      <c r="U255">
        <v>-2432.5825241264101</v>
      </c>
      <c r="V255">
        <v>-300</v>
      </c>
      <c r="W255">
        <v>-6380</v>
      </c>
      <c r="X255">
        <v>7771</v>
      </c>
      <c r="Y255">
        <v>7520</v>
      </c>
      <c r="Z255">
        <v>3040</v>
      </c>
      <c r="AA255">
        <v>-299.00000000002302</v>
      </c>
      <c r="AC255">
        <v>2940</v>
      </c>
      <c r="AD255">
        <v>949</v>
      </c>
      <c r="AE255">
        <v>5000</v>
      </c>
      <c r="AF255">
        <v>-4743</v>
      </c>
      <c r="AG255">
        <v>-219</v>
      </c>
      <c r="AH255">
        <v>-5992</v>
      </c>
      <c r="AI255">
        <v>-7047.3713893030599</v>
      </c>
      <c r="AJ255">
        <v>553</v>
      </c>
      <c r="AK255">
        <v>4891.0839999999998</v>
      </c>
      <c r="AL255">
        <v>-7802</v>
      </c>
      <c r="AM255">
        <v>-3000</v>
      </c>
      <c r="AN255">
        <v>-840</v>
      </c>
      <c r="AP255">
        <v>3038.0398963440398</v>
      </c>
      <c r="AQ255">
        <v>-2752</v>
      </c>
      <c r="AR255">
        <v>4895.4498306162204</v>
      </c>
      <c r="AS255">
        <v>-560</v>
      </c>
      <c r="AT255">
        <v>1350</v>
      </c>
      <c r="AU255">
        <v>627</v>
      </c>
      <c r="AV255">
        <v>55556</v>
      </c>
      <c r="AW255">
        <v>1642.2600771771199</v>
      </c>
      <c r="AX255">
        <v>-1936</v>
      </c>
      <c r="AY255">
        <v>0</v>
      </c>
      <c r="AZ255">
        <v>3269.9815200000098</v>
      </c>
      <c r="BA255">
        <v>0</v>
      </c>
      <c r="BB255">
        <v>-803.48927374669097</v>
      </c>
      <c r="BC255">
        <v>-3857</v>
      </c>
      <c r="BE255">
        <f t="shared" si="6"/>
        <v>48749.781911158228</v>
      </c>
      <c r="BF255">
        <f t="shared" si="7"/>
        <v>50187797.680991933</v>
      </c>
    </row>
    <row r="256" spans="1:58" x14ac:dyDescent="0.2">
      <c r="A256" s="1">
        <v>45544</v>
      </c>
      <c r="B256">
        <v>-15740</v>
      </c>
      <c r="C256">
        <v>-5514.3575703184697</v>
      </c>
      <c r="D256">
        <v>-14847</v>
      </c>
      <c r="E256">
        <v>-6426</v>
      </c>
      <c r="F256">
        <v>-4982.0965846830404</v>
      </c>
      <c r="G256">
        <v>-4270.4257421133898</v>
      </c>
      <c r="H256">
        <v>9512.3548972790195</v>
      </c>
      <c r="I256">
        <v>1080</v>
      </c>
      <c r="J256">
        <v>-16796</v>
      </c>
      <c r="K256">
        <v>-8151</v>
      </c>
      <c r="L256">
        <v>-4850</v>
      </c>
      <c r="M256">
        <v>106.199999999998</v>
      </c>
      <c r="N256">
        <v>-5613.90625</v>
      </c>
      <c r="O256">
        <v>-5759.99999999999</v>
      </c>
      <c r="P256">
        <v>-13500</v>
      </c>
      <c r="Q256">
        <v>-12600</v>
      </c>
      <c r="R256">
        <v>-12704.1363844064</v>
      </c>
      <c r="S256">
        <v>-4475.6346155808897</v>
      </c>
      <c r="T256">
        <v>-11319</v>
      </c>
      <c r="U256">
        <v>-10593.5907119647</v>
      </c>
      <c r="V256">
        <v>-22125</v>
      </c>
      <c r="W256">
        <v>-24505</v>
      </c>
      <c r="X256">
        <v>4180</v>
      </c>
      <c r="Y256">
        <v>-21280</v>
      </c>
      <c r="Z256">
        <v>-8550</v>
      </c>
      <c r="AA256">
        <v>-18641.999999999902</v>
      </c>
      <c r="AC256">
        <v>-8256</v>
      </c>
      <c r="AD256">
        <v>-2301</v>
      </c>
      <c r="AE256">
        <v>-13800</v>
      </c>
      <c r="AF256">
        <v>-13260</v>
      </c>
      <c r="AG256">
        <v>-12126</v>
      </c>
      <c r="AH256">
        <v>-18629.288198962498</v>
      </c>
      <c r="AI256">
        <v>-1699.6938016588999</v>
      </c>
      <c r="AJ256">
        <v>-948</v>
      </c>
      <c r="AK256">
        <v>-7185.8</v>
      </c>
      <c r="AL256">
        <v>489.39819287191898</v>
      </c>
      <c r="AM256">
        <v>-22875</v>
      </c>
      <c r="AN256">
        <v>-22224</v>
      </c>
      <c r="AP256">
        <v>1601.50411704973</v>
      </c>
      <c r="AQ256">
        <v>-3648</v>
      </c>
      <c r="AR256">
        <v>-5775</v>
      </c>
      <c r="AS256">
        <v>-15296</v>
      </c>
      <c r="AT256">
        <v>-7830</v>
      </c>
      <c r="AU256">
        <v>-938.09436484123898</v>
      </c>
      <c r="AV256">
        <v>-778.26754205173995</v>
      </c>
      <c r="AW256">
        <v>-12062</v>
      </c>
      <c r="AX256">
        <v>-1722</v>
      </c>
      <c r="AY256">
        <v>0</v>
      </c>
      <c r="AZ256">
        <v>-7318.4974185142</v>
      </c>
      <c r="BA256">
        <v>-100.603567721422</v>
      </c>
      <c r="BB256">
        <v>-20892.5331646259</v>
      </c>
      <c r="BC256">
        <v>-9975</v>
      </c>
      <c r="BE256">
        <f t="shared" si="6"/>
        <v>-445916.46871024207</v>
      </c>
      <c r="BF256">
        <f t="shared" si="7"/>
        <v>49741881.212281689</v>
      </c>
    </row>
    <row r="257" spans="1:58" x14ac:dyDescent="0.2">
      <c r="A257" s="1">
        <v>45545</v>
      </c>
      <c r="B257">
        <v>4876.7945833584999</v>
      </c>
      <c r="C257">
        <v>1747.2856143858801</v>
      </c>
      <c r="D257">
        <v>8355.6739094703407</v>
      </c>
      <c r="E257">
        <v>346.96344076263</v>
      </c>
      <c r="F257">
        <v>14851.2838574662</v>
      </c>
      <c r="G257">
        <v>353.180535748978</v>
      </c>
      <c r="H257">
        <v>-11391.510144</v>
      </c>
      <c r="I257">
        <v>-162</v>
      </c>
      <c r="J257">
        <v>11237.073524224401</v>
      </c>
      <c r="K257">
        <v>838.787696197944</v>
      </c>
      <c r="L257">
        <v>3850</v>
      </c>
      <c r="M257">
        <v>396.60000000000201</v>
      </c>
      <c r="N257">
        <v>6029.1281707751596</v>
      </c>
      <c r="O257">
        <v>1014.6567491309301</v>
      </c>
      <c r="P257">
        <v>6186.4565177372097</v>
      </c>
      <c r="Q257">
        <v>-2284.9116835585201</v>
      </c>
      <c r="R257">
        <v>9776.0968355513796</v>
      </c>
      <c r="S257">
        <v>-2962.4297992320198</v>
      </c>
      <c r="T257">
        <v>-4349.2368209927999</v>
      </c>
      <c r="U257">
        <v>5085.8575805107102</v>
      </c>
      <c r="V257">
        <v>9565.8220262094092</v>
      </c>
      <c r="W257">
        <v>7675.3108731586499</v>
      </c>
      <c r="X257">
        <v>-2964</v>
      </c>
      <c r="Y257">
        <v>1611.51294987139</v>
      </c>
      <c r="Z257">
        <v>2462.1144932573002</v>
      </c>
      <c r="AA257">
        <v>8304.8789597073792</v>
      </c>
      <c r="AC257">
        <v>2316</v>
      </c>
      <c r="AD257">
        <v>702</v>
      </c>
      <c r="AE257">
        <v>14868.9177844848</v>
      </c>
      <c r="AF257">
        <v>9894</v>
      </c>
      <c r="AG257">
        <v>909</v>
      </c>
      <c r="AH257">
        <v>6002.4154760147003</v>
      </c>
      <c r="AI257">
        <v>8651.8040805297696</v>
      </c>
      <c r="AJ257">
        <v>1580</v>
      </c>
      <c r="AK257">
        <v>5389.35</v>
      </c>
      <c r="AL257">
        <v>-3936</v>
      </c>
      <c r="AM257">
        <v>7400.7330313390403</v>
      </c>
      <c r="AN257">
        <v>7525.9031369774702</v>
      </c>
      <c r="AP257">
        <v>-319.87227296574702</v>
      </c>
      <c r="AQ257">
        <v>3001.3515587708698</v>
      </c>
      <c r="AR257">
        <v>11894.6785918408</v>
      </c>
      <c r="AS257">
        <v>10917.359581964</v>
      </c>
      <c r="AT257">
        <v>-4652.4574502524702</v>
      </c>
      <c r="AU257">
        <v>798</v>
      </c>
      <c r="AV257">
        <v>-5434</v>
      </c>
      <c r="AW257">
        <v>889.05180551923297</v>
      </c>
      <c r="AX257">
        <v>-346</v>
      </c>
      <c r="AY257">
        <v>4785.5736000000597</v>
      </c>
      <c r="AZ257">
        <v>1495.43939999995</v>
      </c>
      <c r="BA257">
        <v>397.66796999999701</v>
      </c>
      <c r="BB257">
        <v>7090.3584968756304</v>
      </c>
      <c r="BC257">
        <v>8485.3128198961494</v>
      </c>
      <c r="BE257">
        <f t="shared" si="6"/>
        <v>180757.97748073531</v>
      </c>
      <c r="BF257">
        <f t="shared" si="7"/>
        <v>49922639.189762421</v>
      </c>
    </row>
    <row r="258" spans="1:58" x14ac:dyDescent="0.2">
      <c r="A258" s="1">
        <v>45546</v>
      </c>
      <c r="B258">
        <v>756</v>
      </c>
      <c r="C258">
        <v>8814</v>
      </c>
      <c r="D258">
        <v>-1839</v>
      </c>
      <c r="E258">
        <v>1185.2888513686801</v>
      </c>
      <c r="F258">
        <v>1550</v>
      </c>
      <c r="G258">
        <v>-905.79934723390102</v>
      </c>
      <c r="H258">
        <v>5339.9608325839099</v>
      </c>
      <c r="I258">
        <v>-840</v>
      </c>
      <c r="J258">
        <v>-70</v>
      </c>
      <c r="K258">
        <v>-1872</v>
      </c>
      <c r="L258">
        <v>4125</v>
      </c>
      <c r="M258">
        <v>-56.400000000003203</v>
      </c>
      <c r="N258">
        <v>-976.16123999993397</v>
      </c>
      <c r="O258">
        <v>316.09661683090201</v>
      </c>
      <c r="P258">
        <v>2448</v>
      </c>
      <c r="Q258">
        <v>-16810</v>
      </c>
      <c r="R258">
        <v>-7763.3686938506798</v>
      </c>
      <c r="S258">
        <v>2211.4853125177301</v>
      </c>
      <c r="T258">
        <v>4010</v>
      </c>
      <c r="U258">
        <v>-7371</v>
      </c>
      <c r="V258">
        <v>2450</v>
      </c>
      <c r="W258">
        <v>-4991.8271126649097</v>
      </c>
      <c r="X258">
        <v>-513</v>
      </c>
      <c r="Y258">
        <v>1682</v>
      </c>
      <c r="Z258">
        <v>2068</v>
      </c>
      <c r="AA258">
        <v>2420</v>
      </c>
      <c r="AC258">
        <v>3123</v>
      </c>
      <c r="AD258">
        <v>377</v>
      </c>
      <c r="AE258">
        <v>2178.7855942957499</v>
      </c>
      <c r="AF258">
        <v>14076</v>
      </c>
      <c r="AG258">
        <v>-1233</v>
      </c>
      <c r="AH258">
        <v>-1446.1267202281299</v>
      </c>
      <c r="AI258">
        <v>679</v>
      </c>
      <c r="AJ258">
        <v>-7.6794086626215003</v>
      </c>
      <c r="AK258">
        <v>225.96324999999999</v>
      </c>
      <c r="AL258">
        <v>8036</v>
      </c>
      <c r="AM258">
        <v>1083.5980886192599</v>
      </c>
      <c r="AN258">
        <v>-665.04258905251299</v>
      </c>
      <c r="AP258">
        <v>-601.62360281174904</v>
      </c>
      <c r="AQ258">
        <v>-6510</v>
      </c>
      <c r="AR258">
        <v>1384</v>
      </c>
      <c r="AS258">
        <v>-2670</v>
      </c>
      <c r="AT258">
        <v>4784.5503093146899</v>
      </c>
      <c r="AU258">
        <v>65.829094412548102</v>
      </c>
      <c r="AV258">
        <v>1287</v>
      </c>
      <c r="AW258">
        <v>6670.1959978701498</v>
      </c>
      <c r="AX258">
        <v>583.569517248804</v>
      </c>
      <c r="AY258">
        <v>0</v>
      </c>
      <c r="AZ258">
        <v>-639.29219999992904</v>
      </c>
      <c r="BA258">
        <v>829.51296000000104</v>
      </c>
      <c r="BB258">
        <v>6476.4610063701903</v>
      </c>
      <c r="BC258">
        <v>1386</v>
      </c>
      <c r="BE258">
        <f t="shared" si="6"/>
        <v>34840.97651692824</v>
      </c>
      <c r="BF258">
        <f t="shared" si="7"/>
        <v>49957480.166279346</v>
      </c>
    </row>
    <row r="259" spans="1:58" x14ac:dyDescent="0.2">
      <c r="A259" s="1">
        <v>45547</v>
      </c>
      <c r="B259">
        <v>15480</v>
      </c>
      <c r="C259">
        <v>3744</v>
      </c>
      <c r="D259">
        <v>6109.6439358359303</v>
      </c>
      <c r="E259">
        <v>-802.421132049118</v>
      </c>
      <c r="F259">
        <v>9450</v>
      </c>
      <c r="G259">
        <v>-863.99259339867695</v>
      </c>
      <c r="H259">
        <v>10530.2187016563</v>
      </c>
      <c r="I259">
        <v>978</v>
      </c>
      <c r="J259">
        <v>7105</v>
      </c>
      <c r="K259">
        <v>5149.9130422922999</v>
      </c>
      <c r="L259">
        <v>8775</v>
      </c>
      <c r="M259">
        <v>768.60000000000196</v>
      </c>
      <c r="N259">
        <v>13958.4656399999</v>
      </c>
      <c r="O259">
        <v>-472.33444130284897</v>
      </c>
      <c r="P259">
        <v>4680</v>
      </c>
      <c r="Q259">
        <v>25767.990318524298</v>
      </c>
      <c r="R259">
        <v>7681.7006617691504</v>
      </c>
      <c r="S259">
        <v>2690</v>
      </c>
      <c r="T259">
        <v>11670</v>
      </c>
      <c r="U259">
        <v>16840.231351586601</v>
      </c>
      <c r="V259">
        <v>9550</v>
      </c>
      <c r="W259">
        <v>8239.1280148355108</v>
      </c>
      <c r="X259">
        <v>12616</v>
      </c>
      <c r="Y259">
        <v>12296</v>
      </c>
      <c r="Z259">
        <v>7520</v>
      </c>
      <c r="AA259">
        <v>11011</v>
      </c>
      <c r="AC259">
        <v>4977</v>
      </c>
      <c r="AD259">
        <v>1027</v>
      </c>
      <c r="AE259">
        <v>10340</v>
      </c>
      <c r="AF259">
        <v>8160</v>
      </c>
      <c r="AG259">
        <v>-3077.3312360290802</v>
      </c>
      <c r="AH259">
        <v>11121.823763112099</v>
      </c>
      <c r="AI259">
        <v>11349</v>
      </c>
      <c r="AJ259">
        <v>3093.0865378324002</v>
      </c>
      <c r="AK259">
        <v>9794.6152500000007</v>
      </c>
      <c r="AL259">
        <v>8200</v>
      </c>
      <c r="AM259">
        <v>12621</v>
      </c>
      <c r="AN259">
        <v>14322</v>
      </c>
      <c r="AP259">
        <v>8319</v>
      </c>
      <c r="AQ259">
        <v>6179.9658711791999</v>
      </c>
      <c r="AR259">
        <v>20068</v>
      </c>
      <c r="AS259">
        <v>6360</v>
      </c>
      <c r="AT259">
        <v>3783</v>
      </c>
      <c r="AU259">
        <v>-15.170994466428199</v>
      </c>
      <c r="AV259">
        <v>0</v>
      </c>
      <c r="AW259">
        <v>11844</v>
      </c>
      <c r="AX259">
        <v>-423</v>
      </c>
      <c r="AY259">
        <v>0</v>
      </c>
      <c r="AZ259">
        <v>-3652.2426000000701</v>
      </c>
      <c r="BA259">
        <v>-412.76300000000299</v>
      </c>
      <c r="BB259">
        <v>12324</v>
      </c>
      <c r="BC259">
        <v>8064</v>
      </c>
      <c r="BE259">
        <f t="shared" ref="BE259:BE322" si="8">SUM(B259:BD259)</f>
        <v>374839.12709137751</v>
      </c>
      <c r="BF259">
        <f t="shared" ref="BF259:BF322" si="9">BF258+BE259</f>
        <v>50332319.293370724</v>
      </c>
    </row>
    <row r="260" spans="1:58" x14ac:dyDescent="0.2">
      <c r="A260" s="1">
        <v>45548</v>
      </c>
      <c r="B260">
        <v>-5202</v>
      </c>
      <c r="C260">
        <v>-8268</v>
      </c>
      <c r="D260">
        <v>-2392</v>
      </c>
      <c r="E260">
        <v>-144.89394459010001</v>
      </c>
      <c r="F260">
        <v>-8900</v>
      </c>
      <c r="G260">
        <v>-479.19703257514601</v>
      </c>
      <c r="H260">
        <v>12076.9629479999</v>
      </c>
      <c r="I260">
        <v>941.59550084228999</v>
      </c>
      <c r="J260">
        <v>-6930</v>
      </c>
      <c r="K260">
        <v>-2448</v>
      </c>
      <c r="L260">
        <v>-3775</v>
      </c>
      <c r="M260">
        <v>377.661796759271</v>
      </c>
      <c r="N260">
        <v>8943.9993999999897</v>
      </c>
      <c r="O260">
        <v>161.066945533541</v>
      </c>
      <c r="P260">
        <v>-6552</v>
      </c>
      <c r="Q260">
        <v>3024.5622316035401</v>
      </c>
      <c r="R260">
        <v>-3620</v>
      </c>
      <c r="S260">
        <v>-538</v>
      </c>
      <c r="T260">
        <v>-15600</v>
      </c>
      <c r="U260">
        <v>-19739.245522528701</v>
      </c>
      <c r="V260">
        <v>-13650</v>
      </c>
      <c r="W260">
        <v>-11615</v>
      </c>
      <c r="X260">
        <v>-4237</v>
      </c>
      <c r="Y260">
        <v>-2175</v>
      </c>
      <c r="Z260">
        <v>-3008</v>
      </c>
      <c r="AA260">
        <v>-15345</v>
      </c>
      <c r="AC260">
        <v>-6150</v>
      </c>
      <c r="AD260">
        <v>-234</v>
      </c>
      <c r="AE260">
        <v>-8178</v>
      </c>
      <c r="AF260">
        <v>3417</v>
      </c>
      <c r="AG260">
        <v>-6190</v>
      </c>
      <c r="AH260">
        <v>-13858</v>
      </c>
      <c r="AI260">
        <v>3104</v>
      </c>
      <c r="AJ260">
        <v>-3314.1665769513802</v>
      </c>
      <c r="AK260">
        <v>-10951.835999999999</v>
      </c>
      <c r="AL260">
        <v>-3116</v>
      </c>
      <c r="AM260">
        <v>-7833</v>
      </c>
      <c r="AN260">
        <v>-9219</v>
      </c>
      <c r="AP260">
        <v>1414.3639653976099</v>
      </c>
      <c r="AQ260">
        <v>-9744</v>
      </c>
      <c r="AR260">
        <v>-3633</v>
      </c>
      <c r="AS260">
        <v>-17295</v>
      </c>
      <c r="AT260">
        <v>-291</v>
      </c>
      <c r="AU260">
        <v>-1416.22036095978</v>
      </c>
      <c r="AV260">
        <v>0</v>
      </c>
      <c r="AW260">
        <v>-8460</v>
      </c>
      <c r="AX260">
        <v>-1.3796909853529999</v>
      </c>
      <c r="AY260">
        <v>0</v>
      </c>
      <c r="AZ260">
        <v>6908.3136000000704</v>
      </c>
      <c r="BA260">
        <v>737.89007999999103</v>
      </c>
      <c r="BB260">
        <v>-8374</v>
      </c>
      <c r="BC260">
        <v>-2772</v>
      </c>
      <c r="BE260">
        <f t="shared" si="8"/>
        <v>-214541.52266045427</v>
      </c>
      <c r="BF260">
        <f t="shared" si="9"/>
        <v>50117777.770710267</v>
      </c>
    </row>
    <row r="261" spans="1:58" x14ac:dyDescent="0.2">
      <c r="A261" s="1">
        <v>45551</v>
      </c>
      <c r="B261">
        <v>-10152</v>
      </c>
      <c r="C261">
        <v>-14274</v>
      </c>
      <c r="D261">
        <v>-7176</v>
      </c>
      <c r="E261">
        <v>-1670.7861344314699</v>
      </c>
      <c r="F261">
        <v>-3000</v>
      </c>
      <c r="G261">
        <v>-367.24183785119999</v>
      </c>
      <c r="H261">
        <v>-4176.9779520000002</v>
      </c>
      <c r="I261">
        <v>4092</v>
      </c>
      <c r="J261">
        <v>-8435</v>
      </c>
      <c r="K261">
        <v>-3569.0004603715402</v>
      </c>
      <c r="L261">
        <v>-4728.3011034854599</v>
      </c>
      <c r="M261">
        <v>2053.8749951762602</v>
      </c>
      <c r="N261">
        <v>-687.221260902209</v>
      </c>
      <c r="O261">
        <v>-426.32351120064698</v>
      </c>
      <c r="P261">
        <v>-14472</v>
      </c>
      <c r="Q261">
        <v>-4500</v>
      </c>
      <c r="R261">
        <v>-12674.8029981702</v>
      </c>
      <c r="S261">
        <v>-1883</v>
      </c>
      <c r="T261">
        <v>-7468.25482549964</v>
      </c>
      <c r="U261">
        <v>-19501.163570467499</v>
      </c>
      <c r="V261">
        <v>-12050</v>
      </c>
      <c r="W261">
        <v>-11074.1343309035</v>
      </c>
      <c r="X261">
        <v>-3933</v>
      </c>
      <c r="Y261">
        <v>-30363</v>
      </c>
      <c r="Z261">
        <v>-7708</v>
      </c>
      <c r="AA261">
        <v>-13416.7437785198</v>
      </c>
      <c r="AC261">
        <v>-2868</v>
      </c>
      <c r="AD261">
        <v>-4118.4015713301596</v>
      </c>
      <c r="AE261">
        <v>-8460</v>
      </c>
      <c r="AF261">
        <v>408</v>
      </c>
      <c r="AG261">
        <v>-4510</v>
      </c>
      <c r="AH261">
        <v>-15940.794022321699</v>
      </c>
      <c r="AI261">
        <v>-1552</v>
      </c>
      <c r="AJ261">
        <v>-106</v>
      </c>
      <c r="AK261">
        <v>-5910.7425000000003</v>
      </c>
      <c r="AL261">
        <v>-9512</v>
      </c>
      <c r="AM261">
        <v>-10920</v>
      </c>
      <c r="AN261">
        <v>-10862.131278749701</v>
      </c>
      <c r="AP261">
        <v>-1160</v>
      </c>
      <c r="AQ261">
        <v>-2329.61781169808</v>
      </c>
      <c r="AR261">
        <v>-8131</v>
      </c>
      <c r="AS261">
        <v>-11603.850640922199</v>
      </c>
      <c r="AT261">
        <v>-2716</v>
      </c>
      <c r="AU261">
        <v>-360</v>
      </c>
      <c r="AV261">
        <v>-1430</v>
      </c>
      <c r="AW261">
        <v>-15792</v>
      </c>
      <c r="AX261">
        <v>0</v>
      </c>
      <c r="AY261">
        <v>0</v>
      </c>
      <c r="AZ261">
        <v>214.39239999997599</v>
      </c>
      <c r="BA261">
        <v>122.102929999998</v>
      </c>
      <c r="BB261">
        <v>-7426</v>
      </c>
      <c r="BC261">
        <v>-7812</v>
      </c>
      <c r="BE261">
        <f t="shared" si="8"/>
        <v>-324337.11926364875</v>
      </c>
      <c r="BF261">
        <f t="shared" si="9"/>
        <v>49793440.651446618</v>
      </c>
    </row>
    <row r="262" spans="1:58" x14ac:dyDescent="0.2">
      <c r="A262" s="1">
        <v>45552</v>
      </c>
      <c r="B262">
        <v>-2455.62555719188</v>
      </c>
      <c r="C262">
        <v>-13487.357583663201</v>
      </c>
      <c r="D262">
        <v>-10201.207647258499</v>
      </c>
      <c r="E262">
        <v>-886.979384684612</v>
      </c>
      <c r="F262">
        <v>1400</v>
      </c>
      <c r="G262">
        <v>-80.373612816600499</v>
      </c>
      <c r="H262">
        <v>5034.3988807005899</v>
      </c>
      <c r="I262">
        <v>-1003.32767700587</v>
      </c>
      <c r="J262">
        <v>-3570</v>
      </c>
      <c r="K262">
        <v>-3263.9453492492098</v>
      </c>
      <c r="L262">
        <v>-2782</v>
      </c>
      <c r="M262">
        <v>-2180.1112081586398</v>
      </c>
      <c r="N262">
        <v>-6765.5268000000497</v>
      </c>
      <c r="O262">
        <v>-523.19501299812805</v>
      </c>
      <c r="P262">
        <v>-7552.2795684431103</v>
      </c>
      <c r="Q262">
        <v>-1800</v>
      </c>
      <c r="R262">
        <v>-1866.84797072421</v>
      </c>
      <c r="S262">
        <v>-4035</v>
      </c>
      <c r="T262">
        <v>-8715.4386715161909</v>
      </c>
      <c r="U262">
        <v>-18386.869524192702</v>
      </c>
      <c r="V262">
        <v>-6350</v>
      </c>
      <c r="W262">
        <v>-5578.1862464662499</v>
      </c>
      <c r="X262">
        <v>-6460</v>
      </c>
      <c r="Y262">
        <v>-13244.0346477609</v>
      </c>
      <c r="Z262">
        <v>-7520</v>
      </c>
      <c r="AA262">
        <v>-6237.7619808854497</v>
      </c>
      <c r="AC262">
        <v>-2982</v>
      </c>
      <c r="AD262">
        <v>-1036</v>
      </c>
      <c r="AE262">
        <v>-16732</v>
      </c>
      <c r="AF262">
        <v>-9231</v>
      </c>
      <c r="AG262">
        <v>-1710.6778330053301</v>
      </c>
      <c r="AH262">
        <v>-3233.3695921072299</v>
      </c>
      <c r="AI262">
        <v>6677.7479884138102</v>
      </c>
      <c r="AJ262">
        <v>-2014</v>
      </c>
      <c r="AK262">
        <v>-6592.7512500000003</v>
      </c>
      <c r="AL262">
        <v>-492</v>
      </c>
      <c r="AM262">
        <v>-5388.33528080007</v>
      </c>
      <c r="AN262">
        <v>-5030.2754192058301</v>
      </c>
      <c r="AP262">
        <v>-116</v>
      </c>
      <c r="AQ262">
        <v>-7652.8905803581201</v>
      </c>
      <c r="AR262">
        <v>2422</v>
      </c>
      <c r="AS262">
        <v>935.07456537135397</v>
      </c>
      <c r="AT262">
        <v>2716</v>
      </c>
      <c r="AU262">
        <v>-810</v>
      </c>
      <c r="AV262">
        <v>0</v>
      </c>
      <c r="AW262">
        <v>-8274.8944641443795</v>
      </c>
      <c r="AX262">
        <v>-10.328573818680599</v>
      </c>
      <c r="AY262">
        <v>-1124.0527199999899</v>
      </c>
      <c r="AZ262">
        <v>0</v>
      </c>
      <c r="BA262">
        <v>-569.123114013193</v>
      </c>
      <c r="BB262">
        <v>-563.41684306056004</v>
      </c>
      <c r="BC262">
        <v>-1638</v>
      </c>
      <c r="BE262">
        <f t="shared" si="8"/>
        <v>-190961.96267904309</v>
      </c>
      <c r="BF262">
        <f t="shared" si="9"/>
        <v>49602478.688767575</v>
      </c>
    </row>
    <row r="263" spans="1:58" x14ac:dyDescent="0.2">
      <c r="A263" s="1">
        <v>45553</v>
      </c>
      <c r="B263">
        <v>5600</v>
      </c>
      <c r="C263">
        <v>6051.5262635962499</v>
      </c>
      <c r="D263">
        <v>3270.0283857238601</v>
      </c>
      <c r="E263">
        <v>-110.30072343356299</v>
      </c>
      <c r="F263">
        <v>5550</v>
      </c>
      <c r="G263">
        <v>982.81827698463803</v>
      </c>
      <c r="H263">
        <v>-865.64916976940594</v>
      </c>
      <c r="I263">
        <v>2455.65020721373</v>
      </c>
      <c r="J263">
        <v>4161.3671369244203</v>
      </c>
      <c r="K263">
        <v>1412.14201828509</v>
      </c>
      <c r="L263">
        <v>2418</v>
      </c>
      <c r="M263">
        <v>1435.4786361748299</v>
      </c>
      <c r="N263">
        <v>164.05614000009899</v>
      </c>
      <c r="O263">
        <v>-389.64739761850001</v>
      </c>
      <c r="P263">
        <v>8725.4865625400798</v>
      </c>
      <c r="Q263">
        <v>-6300</v>
      </c>
      <c r="R263">
        <v>7489.7672610383597</v>
      </c>
      <c r="S263">
        <v>2959</v>
      </c>
      <c r="T263">
        <v>6823.4695961263296</v>
      </c>
      <c r="U263">
        <v>-2060.1115653513002</v>
      </c>
      <c r="V263">
        <v>6750</v>
      </c>
      <c r="W263">
        <v>12617.7199059509</v>
      </c>
      <c r="X263">
        <v>2033</v>
      </c>
      <c r="Y263">
        <v>12716.874021060899</v>
      </c>
      <c r="Z263">
        <v>2968.5403093601899</v>
      </c>
      <c r="AA263">
        <v>5918.1126623334203</v>
      </c>
      <c r="AC263">
        <v>3693</v>
      </c>
      <c r="AD263">
        <v>703.59679766160605</v>
      </c>
      <c r="AE263">
        <v>1289.4299892137401</v>
      </c>
      <c r="AF263">
        <v>-3060</v>
      </c>
      <c r="AG263">
        <v>2060</v>
      </c>
      <c r="AH263">
        <v>12551.9811923998</v>
      </c>
      <c r="AI263">
        <v>7468.9671161987599</v>
      </c>
      <c r="AJ263">
        <v>2120</v>
      </c>
      <c r="AK263">
        <v>4083.3765549496702</v>
      </c>
      <c r="AL263">
        <v>1312</v>
      </c>
      <c r="AM263">
        <v>3935.3182491991402</v>
      </c>
      <c r="AN263">
        <v>2340</v>
      </c>
      <c r="AP263">
        <v>0</v>
      </c>
      <c r="AQ263">
        <v>-3026.27633198894</v>
      </c>
      <c r="AR263">
        <v>6055</v>
      </c>
      <c r="AS263">
        <v>7044</v>
      </c>
      <c r="AT263">
        <v>1261</v>
      </c>
      <c r="AU263">
        <v>2820</v>
      </c>
      <c r="AV263">
        <v>0</v>
      </c>
      <c r="AW263">
        <v>5266.3042268169502</v>
      </c>
      <c r="AX263">
        <v>549</v>
      </c>
      <c r="AY263">
        <v>-1180.7048000001</v>
      </c>
      <c r="AZ263">
        <v>1834.93580000003</v>
      </c>
      <c r="BA263">
        <v>502.40969999998202</v>
      </c>
      <c r="BB263">
        <v>-2812</v>
      </c>
      <c r="BC263">
        <v>-10332</v>
      </c>
      <c r="BE263">
        <f t="shared" si="8"/>
        <v>139256.66702159101</v>
      </c>
      <c r="BF263">
        <f t="shared" si="9"/>
        <v>49741735.355789162</v>
      </c>
    </row>
    <row r="264" spans="1:58" x14ac:dyDescent="0.2">
      <c r="A264" s="1">
        <v>45554</v>
      </c>
      <c r="B264">
        <v>112</v>
      </c>
      <c r="C264">
        <v>-2940</v>
      </c>
      <c r="D264">
        <v>-3184.1917967558402</v>
      </c>
      <c r="E264">
        <v>-913.619432601168</v>
      </c>
      <c r="F264">
        <v>5100</v>
      </c>
      <c r="G264">
        <v>4126.1625966890097</v>
      </c>
      <c r="H264">
        <v>12827.612561210501</v>
      </c>
      <c r="I264">
        <v>9385</v>
      </c>
      <c r="J264">
        <v>748</v>
      </c>
      <c r="K264">
        <v>1560</v>
      </c>
      <c r="L264">
        <v>0</v>
      </c>
      <c r="M264">
        <v>4709.9209833910199</v>
      </c>
      <c r="N264">
        <v>11739.5092799998</v>
      </c>
      <c r="O264">
        <v>1021.12259547663</v>
      </c>
      <c r="P264">
        <v>1575</v>
      </c>
      <c r="Q264">
        <v>3600</v>
      </c>
      <c r="R264">
        <v>-7920</v>
      </c>
      <c r="S264">
        <v>3766</v>
      </c>
      <c r="T264">
        <v>-3997</v>
      </c>
      <c r="U264">
        <v>-3917.4277356399298</v>
      </c>
      <c r="V264">
        <v>-650</v>
      </c>
      <c r="W264">
        <v>-4320</v>
      </c>
      <c r="X264">
        <v>-1919</v>
      </c>
      <c r="Y264">
        <v>-4852.0547173478099</v>
      </c>
      <c r="Z264">
        <v>-4450</v>
      </c>
      <c r="AA264">
        <v>-6153.99999999996</v>
      </c>
      <c r="AC264">
        <v>-4761</v>
      </c>
      <c r="AD264">
        <v>7501</v>
      </c>
      <c r="AE264">
        <v>7099.5763400733204</v>
      </c>
      <c r="AF264">
        <v>5151</v>
      </c>
      <c r="AG264">
        <v>-1609</v>
      </c>
      <c r="AH264">
        <v>-3300</v>
      </c>
      <c r="AI264">
        <v>222.654336863092</v>
      </c>
      <c r="AJ264">
        <v>-10494</v>
      </c>
      <c r="AK264">
        <v>-5348.6081999999997</v>
      </c>
      <c r="AL264">
        <v>-11316</v>
      </c>
      <c r="AM264">
        <v>2160</v>
      </c>
      <c r="AN264">
        <v>2046.86001450094</v>
      </c>
      <c r="AP264">
        <v>-5278</v>
      </c>
      <c r="AQ264">
        <v>-646.62393292455897</v>
      </c>
      <c r="AR264">
        <v>-1384</v>
      </c>
      <c r="AS264">
        <v>-912</v>
      </c>
      <c r="AT264">
        <v>388</v>
      </c>
      <c r="AU264">
        <v>0</v>
      </c>
      <c r="AV264">
        <v>143</v>
      </c>
      <c r="AW264">
        <v>4480.39502358338</v>
      </c>
      <c r="AX264">
        <v>1325.63348037542</v>
      </c>
      <c r="AY264">
        <v>538.09600000006003</v>
      </c>
      <c r="AZ264">
        <v>-2602.04160000007</v>
      </c>
      <c r="BA264">
        <v>-1520.57177999998</v>
      </c>
      <c r="BB264">
        <v>-456</v>
      </c>
      <c r="BC264">
        <v>-7197.4228086343201</v>
      </c>
      <c r="BE264">
        <f t="shared" si="8"/>
        <v>-10716.018791740471</v>
      </c>
      <c r="BF264">
        <f t="shared" si="9"/>
        <v>49731019.33699742</v>
      </c>
    </row>
    <row r="265" spans="1:58" x14ac:dyDescent="0.2">
      <c r="A265" s="1">
        <v>45555</v>
      </c>
      <c r="B265">
        <v>-2784</v>
      </c>
      <c r="C265">
        <v>3520.6105598259701</v>
      </c>
      <c r="D265">
        <v>-3572.5453563927999</v>
      </c>
      <c r="E265">
        <v>2350</v>
      </c>
      <c r="F265">
        <v>5450</v>
      </c>
      <c r="G265">
        <v>3607.1439303624302</v>
      </c>
      <c r="H265">
        <v>-11908.106052716599</v>
      </c>
      <c r="I265">
        <v>7983.3792616865303</v>
      </c>
      <c r="J265">
        <v>-5372</v>
      </c>
      <c r="K265">
        <v>-923</v>
      </c>
      <c r="L265">
        <v>-234</v>
      </c>
      <c r="M265">
        <v>10619.4007999485</v>
      </c>
      <c r="N265">
        <v>14795.731680000001</v>
      </c>
      <c r="O265">
        <v>287.972762875537</v>
      </c>
      <c r="P265">
        <v>-4914</v>
      </c>
      <c r="Q265">
        <v>-10200</v>
      </c>
      <c r="R265">
        <v>-912.05700959842102</v>
      </c>
      <c r="S265">
        <v>-269</v>
      </c>
      <c r="T265">
        <v>-679</v>
      </c>
      <c r="U265">
        <v>-2362.4276326741401</v>
      </c>
      <c r="V265">
        <v>-1500</v>
      </c>
      <c r="W265">
        <v>-3473.31347417796</v>
      </c>
      <c r="X265">
        <v>-1501.24547417491</v>
      </c>
      <c r="Y265">
        <v>6328.9293906843895</v>
      </c>
      <c r="Z265">
        <v>-4485.5140640326099</v>
      </c>
      <c r="AA265">
        <v>-1057.8958585226601</v>
      </c>
      <c r="AC265">
        <v>1194</v>
      </c>
      <c r="AD265">
        <v>-179.45684354905001</v>
      </c>
      <c r="AE265">
        <v>-3337</v>
      </c>
      <c r="AF265">
        <v>-3468</v>
      </c>
      <c r="AG265">
        <v>-2902</v>
      </c>
      <c r="AH265">
        <v>-1980</v>
      </c>
      <c r="AI265">
        <v>4532.1892948015602</v>
      </c>
      <c r="AJ265">
        <v>1523.59802488524</v>
      </c>
      <c r="AK265">
        <v>6169.6636136812904</v>
      </c>
      <c r="AL265">
        <v>-492</v>
      </c>
      <c r="AM265">
        <v>-7848</v>
      </c>
      <c r="AN265">
        <v>-7735</v>
      </c>
      <c r="AP265">
        <v>-6032</v>
      </c>
      <c r="AQ265">
        <v>-3466.7377138525799</v>
      </c>
      <c r="AR265">
        <v>-3287</v>
      </c>
      <c r="AS265">
        <v>876</v>
      </c>
      <c r="AT265">
        <v>2328</v>
      </c>
      <c r="AU265">
        <v>4470</v>
      </c>
      <c r="AV265">
        <v>-20783.1639758848</v>
      </c>
      <c r="AW265">
        <v>2211</v>
      </c>
      <c r="AX265">
        <v>2381.1340045767201</v>
      </c>
      <c r="AY265">
        <v>0</v>
      </c>
      <c r="AZ265">
        <v>-2499.0373999999601</v>
      </c>
      <c r="BA265">
        <v>-2525.1992999999802</v>
      </c>
      <c r="BB265">
        <v>-3803.4471028304702</v>
      </c>
      <c r="BC265">
        <v>3617.5624934351699</v>
      </c>
      <c r="BD265">
        <v>0</v>
      </c>
      <c r="BE265">
        <f t="shared" si="8"/>
        <v>-42239.83144164359</v>
      </c>
      <c r="BF265">
        <f t="shared" si="9"/>
        <v>49688779.505555779</v>
      </c>
    </row>
    <row r="266" spans="1:58" x14ac:dyDescent="0.2">
      <c r="A266" s="1">
        <v>45558</v>
      </c>
      <c r="B266">
        <v>-6432</v>
      </c>
      <c r="C266">
        <v>-1083</v>
      </c>
      <c r="D266">
        <v>-1995.04461862728</v>
      </c>
      <c r="E266">
        <v>1676.7404901943501</v>
      </c>
      <c r="F266">
        <v>-15400</v>
      </c>
      <c r="G266">
        <v>2246.3596169258499</v>
      </c>
      <c r="H266">
        <v>3318.4113299999999</v>
      </c>
      <c r="I266">
        <v>-3712.5969145890299</v>
      </c>
      <c r="J266">
        <v>-3706</v>
      </c>
      <c r="K266">
        <v>572</v>
      </c>
      <c r="L266">
        <v>-1020.59944234507</v>
      </c>
      <c r="M266">
        <v>2096.2862459325002</v>
      </c>
      <c r="N266">
        <v>4832.9265600001499</v>
      </c>
      <c r="O266">
        <v>1304.62118302517</v>
      </c>
      <c r="P266">
        <v>-2457</v>
      </c>
      <c r="Q266">
        <v>-47729.8037516119</v>
      </c>
      <c r="R266">
        <v>-4974.4716174110799</v>
      </c>
      <c r="S266">
        <v>-5111</v>
      </c>
      <c r="T266">
        <v>-1505</v>
      </c>
      <c r="U266">
        <v>-1663.4430614398</v>
      </c>
      <c r="V266">
        <v>-6750</v>
      </c>
      <c r="W266">
        <v>-7871</v>
      </c>
      <c r="X266">
        <v>-14779.412735435901</v>
      </c>
      <c r="Y266">
        <v>-1207</v>
      </c>
      <c r="Z266">
        <v>-14231.8774058704</v>
      </c>
      <c r="AA266">
        <v>-5351.99999999997</v>
      </c>
      <c r="AC266">
        <v>3330</v>
      </c>
      <c r="AD266">
        <v>-1375.37611819825</v>
      </c>
      <c r="AE266">
        <v>-3627.3663357832302</v>
      </c>
      <c r="AF266">
        <v>-408</v>
      </c>
      <c r="AG266">
        <v>-1766.95957802458</v>
      </c>
      <c r="AH266">
        <v>-2538.7464156933902</v>
      </c>
      <c r="AI266">
        <v>-1969.3564671731699</v>
      </c>
      <c r="AJ266">
        <v>-4908.29984547391</v>
      </c>
      <c r="AK266">
        <v>-4629.24</v>
      </c>
      <c r="AL266">
        <v>-13284</v>
      </c>
      <c r="AM266">
        <v>-6910.8044401813204</v>
      </c>
      <c r="AN266">
        <v>-5071.1708524179503</v>
      </c>
      <c r="AP266">
        <v>-5289.5783308682803</v>
      </c>
      <c r="AQ266">
        <v>-1977.58134406163</v>
      </c>
      <c r="AR266">
        <v>-5709</v>
      </c>
      <c r="AS266">
        <v>-6288</v>
      </c>
      <c r="AT266">
        <v>-622.90558222365405</v>
      </c>
      <c r="AU266">
        <v>-6219.77879052964</v>
      </c>
      <c r="AV266">
        <v>3959.73691185896</v>
      </c>
      <c r="AW266">
        <v>-9648</v>
      </c>
      <c r="AX266">
        <v>-538.41431416293597</v>
      </c>
      <c r="AY266">
        <v>12997.2371199999</v>
      </c>
      <c r="AZ266">
        <v>327.69509999996302</v>
      </c>
      <c r="BA266">
        <v>389.44800000001402</v>
      </c>
      <c r="BB266">
        <v>-5781.9059575292704</v>
      </c>
      <c r="BC266">
        <v>-2227.7174034760901</v>
      </c>
      <c r="BD266">
        <v>0</v>
      </c>
      <c r="BE266">
        <f t="shared" si="8"/>
        <v>-200721.98876519088</v>
      </c>
      <c r="BF266">
        <f t="shared" si="9"/>
        <v>49488057.516790591</v>
      </c>
    </row>
    <row r="267" spans="1:58" x14ac:dyDescent="0.2">
      <c r="A267" s="1">
        <v>45559</v>
      </c>
      <c r="B267">
        <v>176</v>
      </c>
      <c r="C267">
        <v>-13965</v>
      </c>
      <c r="D267">
        <v>2072.2328811920001</v>
      </c>
      <c r="E267">
        <v>2192.6276108339198</v>
      </c>
      <c r="F267">
        <v>-3250</v>
      </c>
      <c r="G267">
        <v>-2580.8636409525502</v>
      </c>
      <c r="H267">
        <v>15596.533251000001</v>
      </c>
      <c r="I267">
        <v>-4879</v>
      </c>
      <c r="J267">
        <v>-615.641288226558</v>
      </c>
      <c r="K267">
        <v>2067</v>
      </c>
      <c r="L267">
        <v>-44604</v>
      </c>
      <c r="M267">
        <v>-2589.63446524243</v>
      </c>
      <c r="N267">
        <v>5464.2968042684297</v>
      </c>
      <c r="O267">
        <v>-808.75648965919004</v>
      </c>
      <c r="P267">
        <v>-3364.7955923294799</v>
      </c>
      <c r="Q267">
        <v>-6389.2311769861799</v>
      </c>
      <c r="R267">
        <v>-2752.6555556650501</v>
      </c>
      <c r="S267">
        <v>807</v>
      </c>
      <c r="T267">
        <v>1458.85984477752</v>
      </c>
      <c r="U267">
        <v>482.260923794711</v>
      </c>
      <c r="V267">
        <v>-7550</v>
      </c>
      <c r="W267">
        <v>4436.18501536241</v>
      </c>
      <c r="X267">
        <v>-771.85341752499096</v>
      </c>
      <c r="Y267">
        <v>-5661</v>
      </c>
      <c r="Z267">
        <v>-3183.6268621057302</v>
      </c>
      <c r="AA267">
        <v>-6227.9212922330998</v>
      </c>
      <c r="AC267">
        <v>-14274</v>
      </c>
      <c r="AD267">
        <v>-1846.4615154969599</v>
      </c>
      <c r="AE267">
        <v>-3245.4653431329398</v>
      </c>
      <c r="AF267">
        <v>-3417</v>
      </c>
      <c r="AG267">
        <v>0</v>
      </c>
      <c r="AH267">
        <v>-20.401727082979999</v>
      </c>
      <c r="AI267">
        <v>-8655.4326704332507</v>
      </c>
      <c r="AJ267">
        <v>393.600524560417</v>
      </c>
      <c r="AK267">
        <v>-8147.4624000000003</v>
      </c>
      <c r="AL267">
        <v>-21320</v>
      </c>
      <c r="AM267">
        <v>-1342.6122653892201</v>
      </c>
      <c r="AN267">
        <v>-677.17096958030902</v>
      </c>
      <c r="AP267">
        <v>442.45941988770699</v>
      </c>
      <c r="AQ267">
        <v>1606.1281862271701</v>
      </c>
      <c r="AR267">
        <v>-19376</v>
      </c>
      <c r="AS267">
        <v>657.38213277325895</v>
      </c>
      <c r="AT267">
        <v>-3001.3098248769302</v>
      </c>
      <c r="AU267">
        <v>1573.5785927386801</v>
      </c>
      <c r="AV267">
        <v>-54988</v>
      </c>
      <c r="AW267">
        <v>1369.0955407633501</v>
      </c>
      <c r="AX267">
        <v>-4110.44504508506</v>
      </c>
      <c r="AY267">
        <v>-610.53073303981296</v>
      </c>
      <c r="AZ267">
        <v>4260.0363000000098</v>
      </c>
      <c r="BA267">
        <v>701.00639999998896</v>
      </c>
      <c r="BB267">
        <v>-8189.8650039222402</v>
      </c>
      <c r="BC267">
        <v>5434.5390481618597</v>
      </c>
      <c r="BD267">
        <v>240</v>
      </c>
      <c r="BE267">
        <f t="shared" si="8"/>
        <v>-210985.3148026235</v>
      </c>
      <c r="BF267">
        <f t="shared" si="9"/>
        <v>49277072.201987967</v>
      </c>
    </row>
    <row r="268" spans="1:58" x14ac:dyDescent="0.2">
      <c r="A268" s="1">
        <v>45560</v>
      </c>
      <c r="B268">
        <v>4058.1448072318999</v>
      </c>
      <c r="C268">
        <v>5255.67823980095</v>
      </c>
      <c r="D268">
        <v>2410</v>
      </c>
      <c r="E268">
        <v>-3709.92439371623</v>
      </c>
      <c r="F268">
        <v>7000</v>
      </c>
      <c r="G268">
        <v>831.99999999999295</v>
      </c>
      <c r="H268">
        <v>-5131.4866092380498</v>
      </c>
      <c r="I268">
        <v>2849</v>
      </c>
      <c r="J268">
        <v>3593.3572042238002</v>
      </c>
      <c r="K268">
        <v>1300</v>
      </c>
      <c r="L268">
        <v>7244.6688813351702</v>
      </c>
      <c r="M268">
        <v>7296.2269419662498</v>
      </c>
      <c r="N268">
        <v>12293.316000000001</v>
      </c>
      <c r="O268">
        <v>-4988.1135789842801</v>
      </c>
      <c r="P268">
        <v>5085.2743339333801</v>
      </c>
      <c r="Q268">
        <v>1770.15217852915</v>
      </c>
      <c r="R268">
        <v>4361.8002716574101</v>
      </c>
      <c r="S268">
        <v>4035</v>
      </c>
      <c r="T268">
        <v>3036</v>
      </c>
      <c r="U268">
        <v>605.62914100623004</v>
      </c>
      <c r="V268">
        <v>6664.6325769871401</v>
      </c>
      <c r="W268">
        <v>-420</v>
      </c>
      <c r="X268">
        <v>-7084</v>
      </c>
      <c r="Y268">
        <v>5372</v>
      </c>
      <c r="Z268">
        <v>-435.55555359514699</v>
      </c>
      <c r="AA268">
        <v>4964.6426808832703</v>
      </c>
      <c r="AC268">
        <v>4650</v>
      </c>
      <c r="AD268">
        <v>72</v>
      </c>
      <c r="AE268">
        <v>-5245.9179829121604</v>
      </c>
      <c r="AF268">
        <v>9894</v>
      </c>
      <c r="AG268">
        <v>-158.471996546116</v>
      </c>
      <c r="AH268">
        <v>7485.33176256958</v>
      </c>
      <c r="AI268">
        <v>-3306</v>
      </c>
      <c r="AJ268">
        <v>1455.25067439895</v>
      </c>
      <c r="AK268">
        <v>4980.4403527106997</v>
      </c>
      <c r="AL268">
        <v>1833.2997129216801</v>
      </c>
      <c r="AM268">
        <v>7815</v>
      </c>
      <c r="AN268">
        <v>7455</v>
      </c>
      <c r="AP268">
        <v>2328.7327234951699</v>
      </c>
      <c r="AQ268">
        <v>-124</v>
      </c>
      <c r="AR268">
        <v>10869.032032642501</v>
      </c>
      <c r="AS268">
        <v>5027</v>
      </c>
      <c r="AT268">
        <v>2106</v>
      </c>
      <c r="AU268">
        <v>-795.30455277992701</v>
      </c>
      <c r="AV268">
        <v>5790.8090904262699</v>
      </c>
      <c r="AW268">
        <v>1088.3048392114199</v>
      </c>
      <c r="AX268">
        <v>1272</v>
      </c>
      <c r="AY268">
        <v>0</v>
      </c>
      <c r="AZ268">
        <v>-4477.2819999999901</v>
      </c>
      <c r="BA268">
        <v>273.60060000000999</v>
      </c>
      <c r="BB268">
        <v>6396.1751850208602</v>
      </c>
      <c r="BC268">
        <v>1575</v>
      </c>
      <c r="BD268">
        <v>553.15422568553902</v>
      </c>
      <c r="BE268">
        <f t="shared" si="8"/>
        <v>137071.59778886542</v>
      </c>
      <c r="BF268">
        <f t="shared" si="9"/>
        <v>49414143.79977683</v>
      </c>
    </row>
    <row r="269" spans="1:58" x14ac:dyDescent="0.2">
      <c r="A269" s="1">
        <v>45561</v>
      </c>
      <c r="B269">
        <v>2895</v>
      </c>
      <c r="C269">
        <v>1237.057083506</v>
      </c>
      <c r="D269">
        <v>4097</v>
      </c>
      <c r="E269">
        <v>2030</v>
      </c>
      <c r="F269">
        <v>-10750</v>
      </c>
      <c r="G269">
        <v>3485.5692911173101</v>
      </c>
      <c r="H269">
        <v>25347.462753296899</v>
      </c>
      <c r="I269">
        <v>3374</v>
      </c>
      <c r="J269">
        <v>2432</v>
      </c>
      <c r="K269">
        <v>-507</v>
      </c>
      <c r="L269">
        <v>-979.13988464950296</v>
      </c>
      <c r="M269">
        <v>5111.8427277521296</v>
      </c>
      <c r="N269">
        <v>6695.3646200001103</v>
      </c>
      <c r="O269">
        <v>2350.00000000003</v>
      </c>
      <c r="P269">
        <v>-870</v>
      </c>
      <c r="Q269">
        <v>2150.0578939699899</v>
      </c>
      <c r="R269">
        <v>-276</v>
      </c>
      <c r="S269">
        <v>4842</v>
      </c>
      <c r="T269">
        <v>-234</v>
      </c>
      <c r="U269">
        <v>723.319073567587</v>
      </c>
      <c r="V269">
        <v>-475</v>
      </c>
      <c r="W269">
        <v>3507.5837360066098</v>
      </c>
      <c r="X269">
        <v>1991.3127279422899</v>
      </c>
      <c r="Y269">
        <v>-2703</v>
      </c>
      <c r="Z269">
        <v>608.28882563933496</v>
      </c>
      <c r="AA269">
        <v>-305.49999999998801</v>
      </c>
      <c r="AC269">
        <v>4437.9563595156296</v>
      </c>
      <c r="AD269">
        <v>2196</v>
      </c>
      <c r="AE269">
        <v>-11757.279465634399</v>
      </c>
      <c r="AF269">
        <v>-4539</v>
      </c>
      <c r="AG269">
        <v>-1073</v>
      </c>
      <c r="AH269">
        <v>10070</v>
      </c>
      <c r="AI269">
        <v>8526</v>
      </c>
      <c r="AJ269">
        <v>504</v>
      </c>
      <c r="AK269">
        <v>278.58659999999998</v>
      </c>
      <c r="AL269">
        <v>-10945.2484067106</v>
      </c>
      <c r="AM269">
        <v>2520</v>
      </c>
      <c r="AN269">
        <v>3510</v>
      </c>
      <c r="AP269">
        <v>2052</v>
      </c>
      <c r="AQ269">
        <v>52</v>
      </c>
      <c r="AR269">
        <v>151.10399478292101</v>
      </c>
      <c r="AS269">
        <v>-2431</v>
      </c>
      <c r="AT269">
        <v>930.92329864149701</v>
      </c>
      <c r="AU269">
        <v>-594.53016698634497</v>
      </c>
      <c r="AV269">
        <v>4739.0737269476504</v>
      </c>
      <c r="AW269">
        <v>8047.4793182795402</v>
      </c>
      <c r="AX269">
        <v>1962</v>
      </c>
      <c r="AY269">
        <v>-6405.7754893834999</v>
      </c>
      <c r="AZ269">
        <v>3066.5656000000199</v>
      </c>
      <c r="BA269">
        <v>-1189.0503200000201</v>
      </c>
      <c r="BB269">
        <v>6863.5223655882101</v>
      </c>
      <c r="BC269">
        <v>6300</v>
      </c>
      <c r="BD269">
        <v>213.12922071655001</v>
      </c>
      <c r="BE269">
        <f t="shared" si="8"/>
        <v>83263.675483905958</v>
      </c>
      <c r="BF269">
        <f t="shared" si="9"/>
        <v>49497407.475260735</v>
      </c>
    </row>
    <row r="270" spans="1:58" x14ac:dyDescent="0.2">
      <c r="A270" s="1">
        <v>45562</v>
      </c>
      <c r="B270">
        <v>-1380</v>
      </c>
      <c r="C270">
        <v>-3120</v>
      </c>
      <c r="D270">
        <v>-4218.6492191212601</v>
      </c>
      <c r="E270">
        <v>1370.53449259487</v>
      </c>
      <c r="F270">
        <v>-5568.1238138190602</v>
      </c>
      <c r="G270">
        <v>6387.10547650025</v>
      </c>
      <c r="H270">
        <v>29728.342400851499</v>
      </c>
      <c r="I270">
        <v>4477.4583573623804</v>
      </c>
      <c r="J270">
        <v>-2240</v>
      </c>
      <c r="K270">
        <v>-819</v>
      </c>
      <c r="L270">
        <v>-3351.48515887035</v>
      </c>
      <c r="M270">
        <v>-1660.42268682143</v>
      </c>
      <c r="N270">
        <v>-12158.2608000001</v>
      </c>
      <c r="O270">
        <v>6049.99999999993</v>
      </c>
      <c r="P270">
        <v>-10266</v>
      </c>
      <c r="Q270">
        <v>250</v>
      </c>
      <c r="R270">
        <v>-1380</v>
      </c>
      <c r="S270">
        <v>-1079.91228780347</v>
      </c>
      <c r="T270">
        <v>-1878</v>
      </c>
      <c r="U270">
        <v>-380</v>
      </c>
      <c r="V270">
        <v>-2575</v>
      </c>
      <c r="W270">
        <v>-6286</v>
      </c>
      <c r="X270">
        <v>-2016</v>
      </c>
      <c r="Y270">
        <v>323</v>
      </c>
      <c r="Z270">
        <v>-2450</v>
      </c>
      <c r="AA270">
        <v>-3640</v>
      </c>
      <c r="AC270">
        <v>-3494</v>
      </c>
      <c r="AD270">
        <v>-1144.4647865950601</v>
      </c>
      <c r="AE270">
        <v>1942.03348167183</v>
      </c>
      <c r="AF270">
        <v>-7191</v>
      </c>
      <c r="AG270">
        <v>-258</v>
      </c>
      <c r="AH270">
        <v>-9215</v>
      </c>
      <c r="AI270">
        <v>10962</v>
      </c>
      <c r="AJ270">
        <v>-378</v>
      </c>
      <c r="AK270">
        <v>-970.07399999999996</v>
      </c>
      <c r="AL270">
        <v>-4161.7718381840896</v>
      </c>
      <c r="AM270">
        <v>-3900</v>
      </c>
      <c r="AN270">
        <v>-3990</v>
      </c>
      <c r="AP270">
        <v>-2124</v>
      </c>
      <c r="AQ270">
        <v>-14</v>
      </c>
      <c r="AR270">
        <v>-7110</v>
      </c>
      <c r="AS270">
        <v>-2079</v>
      </c>
      <c r="AT270">
        <v>-1378.97860635493</v>
      </c>
      <c r="AU270">
        <v>-1843.8047133257101</v>
      </c>
      <c r="AV270">
        <v>-3186.6684815143799</v>
      </c>
      <c r="AW270">
        <v>-174</v>
      </c>
      <c r="AX270">
        <v>2832</v>
      </c>
      <c r="AY270">
        <v>0</v>
      </c>
      <c r="AZ270">
        <v>4802.2127999999502</v>
      </c>
      <c r="BA270">
        <v>957.410988028573</v>
      </c>
      <c r="BB270">
        <v>-682</v>
      </c>
      <c r="BC270">
        <v>-945</v>
      </c>
      <c r="BD270">
        <v>-508.42815017215702</v>
      </c>
      <c r="BE270">
        <f t="shared" si="8"/>
        <v>-51132.946545572711</v>
      </c>
      <c r="BF270">
        <f t="shared" si="9"/>
        <v>49446274.528715163</v>
      </c>
    </row>
    <row r="271" spans="1:58" x14ac:dyDescent="0.2">
      <c r="A271" s="1">
        <v>45565</v>
      </c>
      <c r="B271">
        <v>3405</v>
      </c>
      <c r="C271">
        <v>4320</v>
      </c>
      <c r="D271">
        <v>1992</v>
      </c>
      <c r="E271">
        <v>8058.4664098217099</v>
      </c>
      <c r="F271">
        <v>-5814.6621307305604</v>
      </c>
      <c r="G271">
        <v>1021.10729362185</v>
      </c>
      <c r="H271">
        <v>-20702.157552000001</v>
      </c>
      <c r="I271">
        <v>95.462726234232207</v>
      </c>
      <c r="J271">
        <v>-1312</v>
      </c>
      <c r="K271">
        <v>-572</v>
      </c>
      <c r="L271">
        <v>648.76892676263901</v>
      </c>
      <c r="M271">
        <v>-1660.5496294110001</v>
      </c>
      <c r="N271">
        <v>-8047.4536800000496</v>
      </c>
      <c r="O271">
        <v>853.72398474143199</v>
      </c>
      <c r="P271">
        <v>9594.7086560305106</v>
      </c>
      <c r="Q271">
        <v>-2250</v>
      </c>
      <c r="R271">
        <v>-368</v>
      </c>
      <c r="S271">
        <v>2153.9767553658098</v>
      </c>
      <c r="T271">
        <v>2304</v>
      </c>
      <c r="U271">
        <v>807.31858693446702</v>
      </c>
      <c r="V271">
        <v>1675</v>
      </c>
      <c r="W271">
        <v>-829.36994446579604</v>
      </c>
      <c r="X271">
        <v>-1080</v>
      </c>
      <c r="Y271">
        <v>-3825</v>
      </c>
      <c r="Z271">
        <v>454.28654534295299</v>
      </c>
      <c r="AA271">
        <v>2290.5628088894</v>
      </c>
      <c r="AC271">
        <v>2716</v>
      </c>
      <c r="AD271">
        <v>-504.46505548537101</v>
      </c>
      <c r="AE271">
        <v>-1623.3626987349001</v>
      </c>
      <c r="AF271">
        <v>3009</v>
      </c>
      <c r="AG271">
        <v>-2729</v>
      </c>
      <c r="AH271">
        <v>5510</v>
      </c>
      <c r="AI271">
        <v>13543.6379972338</v>
      </c>
      <c r="AJ271">
        <v>-162</v>
      </c>
      <c r="AK271">
        <v>2086.0335</v>
      </c>
      <c r="AL271">
        <v>5347.61127368288</v>
      </c>
      <c r="AM271">
        <v>-2445</v>
      </c>
      <c r="AN271">
        <v>-2970</v>
      </c>
      <c r="AP271">
        <v>-432</v>
      </c>
      <c r="AQ271">
        <v>-50</v>
      </c>
      <c r="AR271">
        <v>2361.81540885712</v>
      </c>
      <c r="AS271">
        <v>1551</v>
      </c>
      <c r="AT271">
        <v>2252.7668258380199</v>
      </c>
      <c r="AU271">
        <v>438.62001026330802</v>
      </c>
      <c r="AV271">
        <v>-49.336963028775699</v>
      </c>
      <c r="AW271">
        <v>-2473.5789232112302</v>
      </c>
      <c r="AX271">
        <v>1717.63065442638</v>
      </c>
      <c r="AY271">
        <v>3550.5186000001499</v>
      </c>
      <c r="AZ271">
        <v>-4346.3004862759799</v>
      </c>
      <c r="BA271">
        <v>841.45115999999496</v>
      </c>
      <c r="BB271">
        <v>4960</v>
      </c>
      <c r="BC271">
        <v>-4305</v>
      </c>
      <c r="BD271">
        <v>359.27533139835498</v>
      </c>
      <c r="BE271">
        <f t="shared" si="8"/>
        <v>21368.506392101346</v>
      </c>
      <c r="BF271">
        <f t="shared" si="9"/>
        <v>49467643.035107262</v>
      </c>
    </row>
    <row r="272" spans="1:58" x14ac:dyDescent="0.2">
      <c r="A272" s="1">
        <v>45566</v>
      </c>
      <c r="B272">
        <v>3315</v>
      </c>
      <c r="C272">
        <v>-576</v>
      </c>
      <c r="D272">
        <v>1660</v>
      </c>
      <c r="E272">
        <v>-7074.2150453314098</v>
      </c>
      <c r="F272">
        <v>5603.1986986299698</v>
      </c>
      <c r="G272">
        <v>2096.3361397809999</v>
      </c>
      <c r="H272">
        <v>-17293.875516</v>
      </c>
      <c r="I272">
        <v>-18</v>
      </c>
      <c r="J272">
        <v>11456</v>
      </c>
      <c r="K272">
        <v>1508</v>
      </c>
      <c r="L272">
        <v>1700.2141377355699</v>
      </c>
      <c r="M272">
        <v>13331.6750723604</v>
      </c>
      <c r="N272">
        <v>18625.9613400001</v>
      </c>
      <c r="O272">
        <v>1627.7105941637201</v>
      </c>
      <c r="P272">
        <v>10149</v>
      </c>
      <c r="Q272">
        <v>3139.8811967117099</v>
      </c>
      <c r="R272">
        <v>3680</v>
      </c>
      <c r="S272">
        <v>3139.08438894354</v>
      </c>
      <c r="T272">
        <v>1638</v>
      </c>
      <c r="U272">
        <v>2574</v>
      </c>
      <c r="V272">
        <v>4250</v>
      </c>
      <c r="W272">
        <v>4974.5798791156803</v>
      </c>
      <c r="X272">
        <v>6796.7028409599498</v>
      </c>
      <c r="Y272">
        <v>2992</v>
      </c>
      <c r="Z272">
        <v>3803.1388549725498</v>
      </c>
      <c r="AA272">
        <v>5081.99999999998</v>
      </c>
      <c r="AC272">
        <v>2420</v>
      </c>
      <c r="AD272">
        <v>2420</v>
      </c>
      <c r="AE272">
        <v>-4704.6207575537401</v>
      </c>
      <c r="AF272">
        <v>6120</v>
      </c>
      <c r="AG272">
        <v>2089</v>
      </c>
      <c r="AH272">
        <v>2755</v>
      </c>
      <c r="AI272">
        <v>-1180.3982850528901</v>
      </c>
      <c r="AJ272">
        <v>414</v>
      </c>
      <c r="AK272">
        <v>5840.8937999999998</v>
      </c>
      <c r="AL272">
        <v>850.91239370243397</v>
      </c>
      <c r="AM272">
        <v>6735</v>
      </c>
      <c r="AN272">
        <v>7965</v>
      </c>
      <c r="AP272">
        <v>396</v>
      </c>
      <c r="AQ272">
        <v>-226</v>
      </c>
      <c r="AR272">
        <v>1550</v>
      </c>
      <c r="AS272">
        <v>5324</v>
      </c>
      <c r="AT272">
        <v>589.39439661841004</v>
      </c>
      <c r="AU272">
        <v>-179.85966540905</v>
      </c>
      <c r="AV272">
        <v>2592</v>
      </c>
      <c r="AW272">
        <v>3402</v>
      </c>
      <c r="AX272">
        <v>3552.6404469311701</v>
      </c>
      <c r="AY272">
        <v>-400.959834715814</v>
      </c>
      <c r="AZ272">
        <v>1930.82736000005</v>
      </c>
      <c r="BA272">
        <v>-25.498519999994901</v>
      </c>
      <c r="BB272">
        <v>4464</v>
      </c>
      <c r="BC272">
        <v>8190</v>
      </c>
      <c r="BD272">
        <v>856.982179644501</v>
      </c>
      <c r="BE272">
        <f t="shared" si="8"/>
        <v>151920.70609620784</v>
      </c>
      <c r="BF272">
        <f t="shared" si="9"/>
        <v>49619563.741203472</v>
      </c>
    </row>
    <row r="273" spans="1:58" x14ac:dyDescent="0.2">
      <c r="A273" s="1">
        <v>45567</v>
      </c>
      <c r="B273">
        <v>7628.0886693082002</v>
      </c>
      <c r="C273">
        <v>5088</v>
      </c>
      <c r="D273">
        <v>2231.2639845345798</v>
      </c>
      <c r="E273">
        <v>-6138</v>
      </c>
      <c r="F273">
        <v>7474</v>
      </c>
      <c r="G273">
        <v>8680.0795046008498</v>
      </c>
      <c r="H273">
        <v>-6171.5503436331801</v>
      </c>
      <c r="I273">
        <v>6823.4812362866696</v>
      </c>
      <c r="J273">
        <v>6272</v>
      </c>
      <c r="K273">
        <v>2158</v>
      </c>
      <c r="L273">
        <v>524</v>
      </c>
      <c r="M273">
        <v>5859.0957618413104</v>
      </c>
      <c r="N273">
        <v>-9723.0650300000598</v>
      </c>
      <c r="O273">
        <v>6509.64441510292</v>
      </c>
      <c r="P273">
        <v>3876</v>
      </c>
      <c r="Q273">
        <v>40</v>
      </c>
      <c r="R273">
        <v>2116</v>
      </c>
      <c r="S273">
        <v>3787.5153805510099</v>
      </c>
      <c r="T273">
        <v>7056</v>
      </c>
      <c r="U273">
        <v>2844</v>
      </c>
      <c r="V273">
        <v>4675</v>
      </c>
      <c r="W273">
        <v>3360</v>
      </c>
      <c r="X273">
        <v>4004</v>
      </c>
      <c r="Y273">
        <v>7582</v>
      </c>
      <c r="Z273">
        <v>1992</v>
      </c>
      <c r="AA273">
        <v>5483.99999999997</v>
      </c>
      <c r="AC273">
        <v>6150</v>
      </c>
      <c r="AD273">
        <v>1159.06550155069</v>
      </c>
      <c r="AE273">
        <v>2499.6238628648298</v>
      </c>
      <c r="AF273">
        <v>8058</v>
      </c>
      <c r="AG273">
        <v>-821</v>
      </c>
      <c r="AH273">
        <v>6840</v>
      </c>
      <c r="AI273">
        <v>10172.6095153642</v>
      </c>
      <c r="AJ273">
        <v>118.57585002745201</v>
      </c>
      <c r="AK273">
        <v>6572.15805</v>
      </c>
      <c r="AL273">
        <v>8742</v>
      </c>
      <c r="AM273">
        <v>10980</v>
      </c>
      <c r="AN273">
        <v>10485</v>
      </c>
      <c r="AP273">
        <v>864</v>
      </c>
      <c r="AQ273">
        <v>6.6308051127398597</v>
      </c>
      <c r="AR273">
        <v>11315</v>
      </c>
      <c r="AS273">
        <v>-6061</v>
      </c>
      <c r="AT273">
        <v>679.73051272852899</v>
      </c>
      <c r="AU273">
        <v>63.041589817081402</v>
      </c>
      <c r="AV273">
        <v>168.74786135496601</v>
      </c>
      <c r="AW273">
        <v>7502.5607504517102</v>
      </c>
      <c r="AX273">
        <v>6549.6106102739705</v>
      </c>
      <c r="AY273">
        <v>0</v>
      </c>
      <c r="AZ273">
        <v>-8755.1164799999806</v>
      </c>
      <c r="BA273">
        <v>-2208.8367599999901</v>
      </c>
      <c r="BB273">
        <v>5022</v>
      </c>
      <c r="BC273">
        <v>5355</v>
      </c>
      <c r="BD273">
        <v>760.15661020016796</v>
      </c>
      <c r="BE273">
        <f t="shared" si="8"/>
        <v>176249.11185833864</v>
      </c>
      <c r="BF273">
        <f t="shared" si="9"/>
        <v>49795812.85306181</v>
      </c>
    </row>
    <row r="274" spans="1:58" x14ac:dyDescent="0.2">
      <c r="A274" s="1">
        <v>45568</v>
      </c>
      <c r="B274">
        <v>-2907.8375071595301</v>
      </c>
      <c r="C274">
        <v>-1824</v>
      </c>
      <c r="D274">
        <v>5876.2889381575797</v>
      </c>
      <c r="E274">
        <v>-5643</v>
      </c>
      <c r="F274">
        <v>6845</v>
      </c>
      <c r="G274">
        <v>-836.690767408037</v>
      </c>
      <c r="H274">
        <v>-12129.987423271001</v>
      </c>
      <c r="I274">
        <v>30</v>
      </c>
      <c r="J274">
        <v>-4288</v>
      </c>
      <c r="K274">
        <v>284.19416783154202</v>
      </c>
      <c r="L274">
        <v>-110</v>
      </c>
      <c r="M274">
        <v>-495.55706350110103</v>
      </c>
      <c r="N274">
        <v>-196.052010000118</v>
      </c>
      <c r="O274">
        <v>4016.6441385201001</v>
      </c>
      <c r="P274">
        <v>-5304</v>
      </c>
      <c r="Q274">
        <v>200</v>
      </c>
      <c r="R274">
        <v>-1288</v>
      </c>
      <c r="S274">
        <v>1030.85499785207</v>
      </c>
      <c r="T274">
        <v>-888</v>
      </c>
      <c r="U274">
        <v>-36</v>
      </c>
      <c r="V274">
        <v>-1175</v>
      </c>
      <c r="W274">
        <v>3696</v>
      </c>
      <c r="X274">
        <v>979</v>
      </c>
      <c r="Y274">
        <v>-4250</v>
      </c>
      <c r="Z274">
        <v>-415</v>
      </c>
      <c r="AA274">
        <v>-1260</v>
      </c>
      <c r="AC274">
        <v>-1122</v>
      </c>
      <c r="AD274">
        <v>288.13137109550598</v>
      </c>
      <c r="AE274">
        <v>1489.4493658260999</v>
      </c>
      <c r="AF274">
        <v>-5763</v>
      </c>
      <c r="AG274">
        <v>818</v>
      </c>
      <c r="AH274">
        <v>-6656.06930777052</v>
      </c>
      <c r="AI274">
        <v>15010.0663972989</v>
      </c>
      <c r="AJ274">
        <v>-733.74752375740798</v>
      </c>
      <c r="AK274">
        <v>-420.11144999999999</v>
      </c>
      <c r="AL274">
        <v>-6696</v>
      </c>
      <c r="AM274">
        <v>-3675</v>
      </c>
      <c r="AN274">
        <v>-4725</v>
      </c>
      <c r="AP274">
        <v>0</v>
      </c>
      <c r="AQ274">
        <v>-59.823732201782597</v>
      </c>
      <c r="AR274">
        <v>-2480</v>
      </c>
      <c r="AS274">
        <v>-3773</v>
      </c>
      <c r="AT274">
        <v>1904.12222655341</v>
      </c>
      <c r="AU274">
        <v>150</v>
      </c>
      <c r="AV274">
        <v>0</v>
      </c>
      <c r="AW274">
        <v>-6247.85770355968</v>
      </c>
      <c r="AX274">
        <v>2473.61430849815</v>
      </c>
      <c r="AY274">
        <v>0</v>
      </c>
      <c r="AZ274">
        <v>-3756.79699999999</v>
      </c>
      <c r="BA274">
        <v>-753.08370854204804</v>
      </c>
      <c r="BB274">
        <v>3396.2700109645698</v>
      </c>
      <c r="BC274">
        <v>-420</v>
      </c>
      <c r="BD274">
        <v>-539.62626808695904</v>
      </c>
      <c r="BE274">
        <f t="shared" si="8"/>
        <v>-42380.605542660254</v>
      </c>
      <c r="BF274">
        <f t="shared" si="9"/>
        <v>49753432.24751915</v>
      </c>
    </row>
    <row r="275" spans="1:58" x14ac:dyDescent="0.2">
      <c r="A275" s="1">
        <v>45569</v>
      </c>
      <c r="B275">
        <v>1584</v>
      </c>
      <c r="C275">
        <v>-1488</v>
      </c>
      <c r="D275">
        <v>-3808.4224472470701</v>
      </c>
      <c r="E275">
        <v>2902.6444099340201</v>
      </c>
      <c r="F275">
        <v>-2405</v>
      </c>
      <c r="G275">
        <v>100.317496190779</v>
      </c>
      <c r="H275">
        <v>9587.8386909090495</v>
      </c>
      <c r="I275">
        <v>-2846.4591758030601</v>
      </c>
      <c r="J275">
        <v>-1280</v>
      </c>
      <c r="K275">
        <v>-2479.5558392889702</v>
      </c>
      <c r="L275">
        <v>50</v>
      </c>
      <c r="M275">
        <v>4147.8984997797597</v>
      </c>
      <c r="N275">
        <v>-4035.38057999993</v>
      </c>
      <c r="O275">
        <v>8241.8711718243103</v>
      </c>
      <c r="P275">
        <v>-3366</v>
      </c>
      <c r="Q275">
        <v>-280</v>
      </c>
      <c r="R275">
        <v>-552</v>
      </c>
      <c r="S275">
        <v>360.29112475474801</v>
      </c>
      <c r="T275">
        <v>144</v>
      </c>
      <c r="U275">
        <v>63.719432151818303</v>
      </c>
      <c r="V275">
        <v>-2125</v>
      </c>
      <c r="W275">
        <v>-3444</v>
      </c>
      <c r="X275">
        <v>-880</v>
      </c>
      <c r="Y275">
        <v>-969</v>
      </c>
      <c r="Z275">
        <v>996</v>
      </c>
      <c r="AA275">
        <v>-2555.99999999996</v>
      </c>
      <c r="AC275">
        <v>-1504.61884524531</v>
      </c>
      <c r="AD275">
        <v>-2464.9387038190398</v>
      </c>
      <c r="AE275">
        <v>-672</v>
      </c>
      <c r="AF275">
        <v>1836</v>
      </c>
      <c r="AG275">
        <v>-358</v>
      </c>
      <c r="AH275">
        <v>-1067</v>
      </c>
      <c r="AI275">
        <v>-3971.45851006662</v>
      </c>
      <c r="AJ275">
        <v>92</v>
      </c>
      <c r="AK275">
        <v>-1134.0647999999901</v>
      </c>
      <c r="AL275">
        <v>-2232</v>
      </c>
      <c r="AM275">
        <v>-1410</v>
      </c>
      <c r="AN275">
        <v>-1530</v>
      </c>
      <c r="AP275">
        <v>-252</v>
      </c>
      <c r="AQ275">
        <v>30.578348765865599</v>
      </c>
      <c r="AR275">
        <v>2480</v>
      </c>
      <c r="AS275">
        <v>-2706</v>
      </c>
      <c r="AT275">
        <v>-1367.4863619999001</v>
      </c>
      <c r="AU275">
        <v>64.799821645718893</v>
      </c>
      <c r="AV275">
        <v>49.6276143362482</v>
      </c>
      <c r="AW275">
        <v>8316</v>
      </c>
      <c r="AX275">
        <v>2420</v>
      </c>
      <c r="AY275">
        <v>0</v>
      </c>
      <c r="AZ275">
        <v>-7143.0239128068797</v>
      </c>
      <c r="BA275">
        <v>-214.33338493492801</v>
      </c>
      <c r="BB275">
        <v>309.55683665919997</v>
      </c>
      <c r="BC275">
        <v>-1384.18487014007</v>
      </c>
      <c r="BD275">
        <v>-173.99041934785399</v>
      </c>
      <c r="BE275">
        <f t="shared" si="8"/>
        <v>-18322.774403748062</v>
      </c>
      <c r="BF275">
        <f t="shared" si="9"/>
        <v>49735109.473115399</v>
      </c>
    </row>
    <row r="276" spans="1:58" x14ac:dyDescent="0.2">
      <c r="A276" s="1">
        <v>45572</v>
      </c>
      <c r="B276">
        <v>550.16053712383098</v>
      </c>
      <c r="C276">
        <v>2928</v>
      </c>
      <c r="D276">
        <v>5876.3015130322301</v>
      </c>
      <c r="E276">
        <v>-8497.6560648744999</v>
      </c>
      <c r="F276">
        <v>2775</v>
      </c>
      <c r="G276">
        <v>4726.3413391948097</v>
      </c>
      <c r="H276">
        <v>-6623.9093759999996</v>
      </c>
      <c r="I276">
        <v>9460</v>
      </c>
      <c r="J276">
        <v>5216</v>
      </c>
      <c r="K276">
        <v>2256</v>
      </c>
      <c r="L276">
        <v>96</v>
      </c>
      <c r="M276">
        <v>6245.3053203466998</v>
      </c>
      <c r="N276">
        <v>2125.0880000001798</v>
      </c>
      <c r="O276">
        <v>3586.6390998296702</v>
      </c>
      <c r="P276">
        <v>2652</v>
      </c>
      <c r="Q276">
        <v>120</v>
      </c>
      <c r="R276">
        <v>1748</v>
      </c>
      <c r="S276">
        <v>5187.3215128840902</v>
      </c>
      <c r="T276">
        <v>612</v>
      </c>
      <c r="U276">
        <v>-89.514064134436296</v>
      </c>
      <c r="V276">
        <v>150</v>
      </c>
      <c r="W276">
        <v>3396</v>
      </c>
      <c r="X276">
        <v>1925</v>
      </c>
      <c r="Y276">
        <v>3825</v>
      </c>
      <c r="Z276">
        <v>415</v>
      </c>
      <c r="AA276">
        <v>143.999999999978</v>
      </c>
      <c r="AC276">
        <v>855</v>
      </c>
      <c r="AD276">
        <v>-840</v>
      </c>
      <c r="AE276">
        <v>-160</v>
      </c>
      <c r="AF276">
        <v>765</v>
      </c>
      <c r="AG276">
        <v>-394</v>
      </c>
      <c r="AH276">
        <v>6014</v>
      </c>
      <c r="AI276">
        <v>15594.013409695601</v>
      </c>
      <c r="AJ276">
        <v>276</v>
      </c>
      <c r="AK276">
        <v>2276.88</v>
      </c>
      <c r="AL276">
        <v>1116</v>
      </c>
      <c r="AM276">
        <v>2310</v>
      </c>
      <c r="AN276">
        <v>2220</v>
      </c>
      <c r="AP276">
        <v>-72</v>
      </c>
      <c r="AQ276">
        <v>-141.40892877068401</v>
      </c>
      <c r="AR276">
        <v>4805</v>
      </c>
      <c r="AS276">
        <v>-4125</v>
      </c>
      <c r="AT276">
        <v>167.50150526447001</v>
      </c>
      <c r="AU276">
        <v>-1092.7158982400099</v>
      </c>
      <c r="AV276">
        <v>-630</v>
      </c>
      <c r="AW276">
        <v>1968.79174618192</v>
      </c>
      <c r="AX276">
        <v>6659.6958143348202</v>
      </c>
      <c r="AY276">
        <v>0</v>
      </c>
      <c r="AZ276">
        <v>976.41795632982803</v>
      </c>
      <c r="BA276">
        <v>-623.01656581817997</v>
      </c>
      <c r="BB276">
        <v>915.56924661891799</v>
      </c>
      <c r="BC276">
        <v>3948.4804321951201</v>
      </c>
      <c r="BD276">
        <v>963.14297580469099</v>
      </c>
      <c r="BE276">
        <f t="shared" si="8"/>
        <v>94557.429510999034</v>
      </c>
      <c r="BF276">
        <f t="shared" si="9"/>
        <v>49829666.902626395</v>
      </c>
    </row>
    <row r="277" spans="1:58" x14ac:dyDescent="0.2">
      <c r="A277" s="1">
        <v>45573</v>
      </c>
      <c r="B277">
        <v>4198.0776521074404</v>
      </c>
      <c r="C277">
        <v>960</v>
      </c>
      <c r="D277">
        <v>2597.56494801496</v>
      </c>
      <c r="E277">
        <v>6193.6933859195597</v>
      </c>
      <c r="F277">
        <v>-592</v>
      </c>
      <c r="G277">
        <v>5503.8974937686799</v>
      </c>
      <c r="H277">
        <v>5435.7517433006497</v>
      </c>
      <c r="I277">
        <v>2414.73460289691</v>
      </c>
      <c r="J277">
        <v>-7680</v>
      </c>
      <c r="K277">
        <v>224</v>
      </c>
      <c r="L277">
        <v>-188</v>
      </c>
      <c r="M277">
        <v>-12576.1846441749</v>
      </c>
      <c r="N277">
        <v>-23840.830999999998</v>
      </c>
      <c r="O277">
        <v>429.68253599683499</v>
      </c>
      <c r="P277">
        <v>-3111</v>
      </c>
      <c r="Q277">
        <v>-200</v>
      </c>
      <c r="R277">
        <v>-464.84252400879802</v>
      </c>
      <c r="S277">
        <v>1348.0268424651199</v>
      </c>
      <c r="T277">
        <v>992.21418269937203</v>
      </c>
      <c r="U277">
        <v>2195.24195107777</v>
      </c>
      <c r="V277">
        <v>0</v>
      </c>
      <c r="W277">
        <v>-2004</v>
      </c>
      <c r="X277">
        <v>143</v>
      </c>
      <c r="Y277">
        <v>-2958</v>
      </c>
      <c r="Z277">
        <v>-249</v>
      </c>
      <c r="AA277">
        <v>-53.999999999978101</v>
      </c>
      <c r="AC277">
        <v>2403</v>
      </c>
      <c r="AD277">
        <v>924</v>
      </c>
      <c r="AE277">
        <v>768</v>
      </c>
      <c r="AF277">
        <v>-306</v>
      </c>
      <c r="AG277">
        <v>-885</v>
      </c>
      <c r="AH277">
        <v>679</v>
      </c>
      <c r="AI277">
        <v>3652.5249923492001</v>
      </c>
      <c r="AJ277">
        <v>-2024</v>
      </c>
      <c r="AK277">
        <v>123.17249213691299</v>
      </c>
      <c r="AL277">
        <v>-2604</v>
      </c>
      <c r="AM277">
        <v>-345</v>
      </c>
      <c r="AN277">
        <v>255</v>
      </c>
      <c r="AP277">
        <v>324</v>
      </c>
      <c r="AQ277">
        <v>-399.35225767710301</v>
      </c>
      <c r="AR277">
        <v>-620</v>
      </c>
      <c r="AS277">
        <v>891</v>
      </c>
      <c r="AT277">
        <v>7270.6962067856002</v>
      </c>
      <c r="AU277">
        <v>1800</v>
      </c>
      <c r="AV277">
        <v>0</v>
      </c>
      <c r="AW277">
        <v>-74.288456261597503</v>
      </c>
      <c r="AX277">
        <v>1947.7092643255</v>
      </c>
      <c r="AY277">
        <v>15204.4304999998</v>
      </c>
      <c r="AZ277">
        <v>-914.38472339612804</v>
      </c>
      <c r="BA277">
        <v>-1250.4757449466999</v>
      </c>
      <c r="BB277">
        <v>-17.019855208692899</v>
      </c>
      <c r="BC277">
        <v>4828.26445675372</v>
      </c>
      <c r="BD277">
        <v>-1259.3553203700401</v>
      </c>
      <c r="BE277">
        <f t="shared" si="8"/>
        <v>9089.948724554095</v>
      </c>
      <c r="BF277">
        <f t="shared" si="9"/>
        <v>49838756.851350948</v>
      </c>
    </row>
    <row r="278" spans="1:58" x14ac:dyDescent="0.2">
      <c r="A278" s="1">
        <v>45574</v>
      </c>
      <c r="B278">
        <v>4976.0691294450999</v>
      </c>
      <c r="C278">
        <v>528</v>
      </c>
      <c r="D278">
        <v>4461.1303846521496</v>
      </c>
      <c r="E278">
        <v>-4819</v>
      </c>
      <c r="F278">
        <v>2331</v>
      </c>
      <c r="G278">
        <v>-1833.09188259297</v>
      </c>
      <c r="H278">
        <v>21757.458609000001</v>
      </c>
      <c r="I278">
        <v>1099.74264432124</v>
      </c>
      <c r="J278">
        <v>4864</v>
      </c>
      <c r="K278">
        <v>146.96168010865699</v>
      </c>
      <c r="L278">
        <v>304</v>
      </c>
      <c r="M278">
        <v>6467.6000000001004</v>
      </c>
      <c r="N278">
        <v>1644.04125443715</v>
      </c>
      <c r="O278">
        <v>1438.1787348647399</v>
      </c>
      <c r="P278">
        <v>4080</v>
      </c>
      <c r="Q278">
        <v>-400</v>
      </c>
      <c r="R278">
        <v>3072.9267405785999</v>
      </c>
      <c r="S278">
        <v>1920.00180137896</v>
      </c>
      <c r="T278">
        <v>3706.1954910828099</v>
      </c>
      <c r="U278">
        <v>771.72434500411202</v>
      </c>
      <c r="V278">
        <v>4250</v>
      </c>
      <c r="W278">
        <v>1908</v>
      </c>
      <c r="X278">
        <v>3289</v>
      </c>
      <c r="Y278">
        <v>4080</v>
      </c>
      <c r="Z278">
        <v>1577</v>
      </c>
      <c r="AA278">
        <v>4871.99999999998</v>
      </c>
      <c r="AC278">
        <v>3450</v>
      </c>
      <c r="AD278">
        <v>784</v>
      </c>
      <c r="AE278">
        <v>-304</v>
      </c>
      <c r="AF278">
        <v>1275</v>
      </c>
      <c r="AG278">
        <v>-2522</v>
      </c>
      <c r="AH278">
        <v>-1388.45384064975</v>
      </c>
      <c r="AI278">
        <v>2476.5477910100999</v>
      </c>
      <c r="AJ278">
        <v>1127.97714130964</v>
      </c>
      <c r="AK278">
        <v>6032.6240350669996</v>
      </c>
      <c r="AL278">
        <v>8742</v>
      </c>
      <c r="AM278">
        <v>4665</v>
      </c>
      <c r="AN278">
        <v>5145</v>
      </c>
      <c r="AP278">
        <v>-2340</v>
      </c>
      <c r="AQ278">
        <v>351</v>
      </c>
      <c r="AR278">
        <v>4027.2657466270398</v>
      </c>
      <c r="AS278">
        <v>2211</v>
      </c>
      <c r="AT278">
        <v>117.750789185912</v>
      </c>
      <c r="AU278">
        <v>24.3091238355202</v>
      </c>
      <c r="AV278">
        <v>1980</v>
      </c>
      <c r="AW278">
        <v>5060.2168765149499</v>
      </c>
      <c r="AX278">
        <v>4188</v>
      </c>
      <c r="AY278">
        <v>-823.05261708923103</v>
      </c>
      <c r="AZ278">
        <v>-828.48007952965202</v>
      </c>
      <c r="BA278">
        <v>776.49120000002904</v>
      </c>
      <c r="BB278">
        <v>-1099.1955148894599</v>
      </c>
      <c r="BC278">
        <v>1897.6405383526301</v>
      </c>
      <c r="BD278">
        <v>2016</v>
      </c>
      <c r="BE278">
        <f t="shared" si="8"/>
        <v>123535.58012202541</v>
      </c>
      <c r="BF278">
        <f t="shared" si="9"/>
        <v>49962292.431472972</v>
      </c>
    </row>
    <row r="279" spans="1:58" x14ac:dyDescent="0.2">
      <c r="A279" s="1">
        <v>45575</v>
      </c>
      <c r="B279">
        <v>396.15188302729399</v>
      </c>
      <c r="C279">
        <v>-336</v>
      </c>
      <c r="D279">
        <v>-958.58575579411001</v>
      </c>
      <c r="E279">
        <v>679.20176236401403</v>
      </c>
      <c r="F279">
        <v>-2987.3038863872098</v>
      </c>
      <c r="G279">
        <v>-11019.673774618899</v>
      </c>
      <c r="H279">
        <v>-9841.7689919999993</v>
      </c>
      <c r="I279">
        <v>-12415</v>
      </c>
      <c r="J279">
        <v>288</v>
      </c>
      <c r="K279">
        <v>1681.1297662531199</v>
      </c>
      <c r="L279">
        <v>-109.783937911831</v>
      </c>
      <c r="M279">
        <v>-3685.1999999999398</v>
      </c>
      <c r="N279">
        <v>3711.1100827325599</v>
      </c>
      <c r="O279">
        <v>4570.1538597074996</v>
      </c>
      <c r="P279">
        <v>-2040</v>
      </c>
      <c r="Q279">
        <v>-520</v>
      </c>
      <c r="R279">
        <v>-2501.0977390195899</v>
      </c>
      <c r="S279">
        <v>-1069.33257684655</v>
      </c>
      <c r="T279">
        <v>-149.717031323366</v>
      </c>
      <c r="U279">
        <v>-844.53162657579901</v>
      </c>
      <c r="V279">
        <v>-1060.8318902933599</v>
      </c>
      <c r="W279">
        <v>-46.964671882946497</v>
      </c>
      <c r="X279">
        <v>2280.4469369430099</v>
      </c>
      <c r="Y279">
        <v>-2217.1272911708302</v>
      </c>
      <c r="Z279">
        <v>-166</v>
      </c>
      <c r="AA279">
        <v>-881.93372252614597</v>
      </c>
      <c r="AC279">
        <v>-3404.6543968071801</v>
      </c>
      <c r="AD279">
        <v>532</v>
      </c>
      <c r="AE279">
        <v>384</v>
      </c>
      <c r="AF279">
        <v>-4956.7019037076698</v>
      </c>
      <c r="AG279">
        <v>-417.76751509890499</v>
      </c>
      <c r="AH279">
        <v>2555.8168884945799</v>
      </c>
      <c r="AI279">
        <v>-11620.468241648199</v>
      </c>
      <c r="AJ279">
        <v>-108</v>
      </c>
      <c r="AK279">
        <v>-4056.0384550922799</v>
      </c>
      <c r="AL279">
        <v>3348</v>
      </c>
      <c r="AM279">
        <v>340.61177506887498</v>
      </c>
      <c r="AN279">
        <v>109.405875776591</v>
      </c>
      <c r="AP279">
        <v>-684</v>
      </c>
      <c r="AQ279">
        <v>428.59172432701598</v>
      </c>
      <c r="AR279">
        <v>1070.20800472868</v>
      </c>
      <c r="AS279">
        <v>-891</v>
      </c>
      <c r="AT279">
        <v>-127.997916836226</v>
      </c>
      <c r="AU279">
        <v>215.606027891835</v>
      </c>
      <c r="AV279">
        <v>1755</v>
      </c>
      <c r="AW279">
        <v>-2987.3913860135799</v>
      </c>
      <c r="AX279">
        <v>-7342.2906275046198</v>
      </c>
      <c r="AY279">
        <v>0</v>
      </c>
      <c r="AZ279">
        <v>-427.450637652784</v>
      </c>
      <c r="BA279">
        <v>-520.06400000004396</v>
      </c>
      <c r="BB279">
        <v>-1622.20472865341</v>
      </c>
      <c r="BC279">
        <v>-1101.70921965805</v>
      </c>
      <c r="BD279">
        <v>-1573.57923755146</v>
      </c>
      <c r="BE279">
        <f t="shared" si="8"/>
        <v>-70346.736575259914</v>
      </c>
      <c r="BF279">
        <f t="shared" si="9"/>
        <v>49891945.694897711</v>
      </c>
    </row>
    <row r="280" spans="1:58" x14ac:dyDescent="0.2">
      <c r="A280" s="1">
        <v>45576</v>
      </c>
      <c r="B280">
        <v>-741.92426416359694</v>
      </c>
      <c r="C280">
        <v>3744</v>
      </c>
      <c r="D280">
        <v>-1929.71937214847</v>
      </c>
      <c r="E280">
        <v>652.06966471751696</v>
      </c>
      <c r="F280">
        <v>-234</v>
      </c>
      <c r="G280">
        <v>-5538.00000000008</v>
      </c>
      <c r="H280">
        <v>16103.096100000001</v>
      </c>
      <c r="I280">
        <v>-15223</v>
      </c>
      <c r="J280">
        <v>540.38401957027395</v>
      </c>
      <c r="K280">
        <v>-728.71085426667298</v>
      </c>
      <c r="L280">
        <v>234</v>
      </c>
      <c r="M280">
        <v>251.59999999983799</v>
      </c>
      <c r="N280">
        <v>16917.478350000001</v>
      </c>
      <c r="O280">
        <v>-164.59315651645699</v>
      </c>
      <c r="P280">
        <v>4730.1048546196898</v>
      </c>
      <c r="Q280">
        <v>240</v>
      </c>
      <c r="R280">
        <v>2508</v>
      </c>
      <c r="S280">
        <v>4341.5907875738303</v>
      </c>
      <c r="T280">
        <v>1403.2902302269699</v>
      </c>
      <c r="U280">
        <v>375.735688869694</v>
      </c>
      <c r="V280">
        <v>1600</v>
      </c>
      <c r="W280">
        <v>6338.4503876826302</v>
      </c>
      <c r="X280">
        <v>216</v>
      </c>
      <c r="Y280">
        <v>1846.8764940825899</v>
      </c>
      <c r="Z280">
        <v>-679.70034883353901</v>
      </c>
      <c r="AA280">
        <v>1016.02292325246</v>
      </c>
      <c r="AC280">
        <v>-1896</v>
      </c>
      <c r="AD280">
        <v>2079.07095870372</v>
      </c>
      <c r="AE280">
        <v>1696</v>
      </c>
      <c r="AF280">
        <v>-4929</v>
      </c>
      <c r="AG280">
        <v>0</v>
      </c>
      <c r="AH280">
        <v>851.47406460917205</v>
      </c>
      <c r="AI280">
        <v>2120</v>
      </c>
      <c r="AJ280">
        <v>36</v>
      </c>
      <c r="AK280">
        <v>-3490.1388000000002</v>
      </c>
      <c r="AL280">
        <v>-4371</v>
      </c>
      <c r="AM280">
        <v>3484.5842835292201</v>
      </c>
      <c r="AN280">
        <v>4057.6967947185299</v>
      </c>
      <c r="AP280">
        <v>-3348</v>
      </c>
      <c r="AQ280">
        <v>520.53409165958703</v>
      </c>
      <c r="AR280">
        <v>-4772.3412505818596</v>
      </c>
      <c r="AS280">
        <v>770</v>
      </c>
      <c r="AT280">
        <v>-3890.1922844984101</v>
      </c>
      <c r="AU280">
        <v>-4343.1245753409903</v>
      </c>
      <c r="AV280">
        <v>-5760</v>
      </c>
      <c r="AW280">
        <v>6341.7267692147398</v>
      </c>
      <c r="AX280">
        <v>-14131</v>
      </c>
      <c r="AY280">
        <v>0</v>
      </c>
      <c r="AZ280">
        <v>-232.26310306940499</v>
      </c>
      <c r="BA280">
        <v>-314.70782217771898</v>
      </c>
      <c r="BB280">
        <v>-2765.0767899080502</v>
      </c>
      <c r="BC280">
        <v>6055.5285450075098</v>
      </c>
      <c r="BD280">
        <v>-720</v>
      </c>
      <c r="BE280">
        <f t="shared" si="8"/>
        <v>10868.822386532727</v>
      </c>
      <c r="BF280">
        <f t="shared" si="9"/>
        <v>49902814.517284244</v>
      </c>
    </row>
    <row r="281" spans="1:58" x14ac:dyDescent="0.2">
      <c r="A281" s="1">
        <v>45579</v>
      </c>
      <c r="B281">
        <v>-2846.9215221401701</v>
      </c>
      <c r="C281">
        <v>-8336.6146182606899</v>
      </c>
      <c r="D281">
        <v>1925.76251359206</v>
      </c>
      <c r="E281">
        <v>2542</v>
      </c>
      <c r="F281">
        <v>-3549</v>
      </c>
      <c r="G281">
        <v>8235.9999999999709</v>
      </c>
      <c r="H281">
        <v>6729.1101899999903</v>
      </c>
      <c r="I281">
        <v>5109</v>
      </c>
      <c r="J281">
        <v>-2020.2285823963</v>
      </c>
      <c r="K281">
        <v>-586.27531842747101</v>
      </c>
      <c r="L281">
        <v>-30.781498157990701</v>
      </c>
      <c r="M281">
        <v>5712.8000000000502</v>
      </c>
      <c r="N281">
        <v>-3698.6411000001299</v>
      </c>
      <c r="O281">
        <v>-16600</v>
      </c>
      <c r="P281">
        <v>-7864.77447443254</v>
      </c>
      <c r="Q281">
        <v>-1680</v>
      </c>
      <c r="R281">
        <v>-3336.46351684089</v>
      </c>
      <c r="S281">
        <v>-20746.259408395799</v>
      </c>
      <c r="T281">
        <v>-13476.118643305501</v>
      </c>
      <c r="U281">
        <v>315.74050688118598</v>
      </c>
      <c r="V281">
        <v>-4750</v>
      </c>
      <c r="W281">
        <v>-2120.0622132225899</v>
      </c>
      <c r="X281">
        <v>-642.38688567523604</v>
      </c>
      <c r="Y281">
        <v>-451.21814956265598</v>
      </c>
      <c r="Z281">
        <v>-2028.4923087956599</v>
      </c>
      <c r="AA281">
        <v>-3799.9667534806399</v>
      </c>
      <c r="AC281">
        <v>-1132</v>
      </c>
      <c r="AD281">
        <v>-1061.8597562273101</v>
      </c>
      <c r="AE281">
        <v>-1350.58181849624</v>
      </c>
      <c r="AF281">
        <v>-265</v>
      </c>
      <c r="AG281">
        <v>0</v>
      </c>
      <c r="AH281">
        <v>-5808.4545681234804</v>
      </c>
      <c r="AI281">
        <v>-13515</v>
      </c>
      <c r="AJ281">
        <v>-882</v>
      </c>
      <c r="AK281">
        <v>-432.30869999999999</v>
      </c>
      <c r="AL281">
        <v>-1209</v>
      </c>
      <c r="AM281">
        <v>-5603.2295136533003</v>
      </c>
      <c r="AN281">
        <v>-6274.6305193956296</v>
      </c>
      <c r="AP281">
        <v>-2052</v>
      </c>
      <c r="AQ281">
        <v>-122.711464871681</v>
      </c>
      <c r="AR281">
        <v>1190</v>
      </c>
      <c r="AS281">
        <v>1056</v>
      </c>
      <c r="AT281">
        <v>3360</v>
      </c>
      <c r="AU281">
        <v>-1914</v>
      </c>
      <c r="AV281">
        <v>765</v>
      </c>
      <c r="AW281">
        <v>-6142.3415290408502</v>
      </c>
      <c r="AX281">
        <v>8710</v>
      </c>
      <c r="AY281">
        <v>12824.0560799999</v>
      </c>
      <c r="AZ281">
        <v>830.40284000000804</v>
      </c>
      <c r="BA281">
        <v>1841.8808999999701</v>
      </c>
      <c r="BB281">
        <v>-3234</v>
      </c>
      <c r="BC281">
        <v>4420.0917493144498</v>
      </c>
      <c r="BD281">
        <v>-2100</v>
      </c>
      <c r="BE281">
        <f t="shared" si="8"/>
        <v>-86095.478083115158</v>
      </c>
      <c r="BF281">
        <f t="shared" si="9"/>
        <v>49816719.039201126</v>
      </c>
    </row>
    <row r="282" spans="1:58" x14ac:dyDescent="0.2">
      <c r="A282" s="1">
        <v>45580</v>
      </c>
      <c r="B282">
        <v>-12402</v>
      </c>
      <c r="C282">
        <v>-3233</v>
      </c>
      <c r="D282">
        <v>-11234.4061497976</v>
      </c>
      <c r="E282">
        <v>2542</v>
      </c>
      <c r="F282">
        <v>-6279</v>
      </c>
      <c r="G282">
        <v>8520.0000000000691</v>
      </c>
      <c r="H282">
        <v>441.04010828128901</v>
      </c>
      <c r="I282">
        <v>22954.5033184803</v>
      </c>
      <c r="J282">
        <v>-3885</v>
      </c>
      <c r="K282">
        <v>-2967</v>
      </c>
      <c r="L282">
        <v>-839.78907360407004</v>
      </c>
      <c r="M282">
        <v>20424</v>
      </c>
      <c r="N282">
        <v>5523.9444999999996</v>
      </c>
      <c r="O282">
        <v>10599.9999999999</v>
      </c>
      <c r="P282">
        <v>-1767</v>
      </c>
      <c r="Q282">
        <v>29.9494953359936</v>
      </c>
      <c r="R282">
        <v>-7497</v>
      </c>
      <c r="S282">
        <v>-2998.3396184916701</v>
      </c>
      <c r="T282">
        <v>2200</v>
      </c>
      <c r="U282">
        <v>-2051.01047608716</v>
      </c>
      <c r="V282">
        <v>-5450</v>
      </c>
      <c r="W282">
        <v>-3604</v>
      </c>
      <c r="X282">
        <v>-4186</v>
      </c>
      <c r="Y282">
        <v>-3031.1144406873</v>
      </c>
      <c r="Z282">
        <v>-3948</v>
      </c>
      <c r="AA282">
        <v>-4815</v>
      </c>
      <c r="AC282">
        <v>-6708</v>
      </c>
      <c r="AD282">
        <v>-2856</v>
      </c>
      <c r="AE282">
        <v>-1802</v>
      </c>
      <c r="AF282">
        <v>-2385</v>
      </c>
      <c r="AG282">
        <v>0</v>
      </c>
      <c r="AH282">
        <v>1188</v>
      </c>
      <c r="AI282">
        <v>3975</v>
      </c>
      <c r="AJ282">
        <v>-112.607053031627</v>
      </c>
      <c r="AK282">
        <v>2810.0065500000001</v>
      </c>
      <c r="AL282">
        <v>-4743</v>
      </c>
      <c r="AM282">
        <v>-1500</v>
      </c>
      <c r="AN282">
        <v>-2800</v>
      </c>
      <c r="AP282">
        <v>-11062.394629176901</v>
      </c>
      <c r="AQ282">
        <v>779.97287315870994</v>
      </c>
      <c r="AR282">
        <v>-7992.7251568363599</v>
      </c>
      <c r="AS282">
        <v>-4686</v>
      </c>
      <c r="AT282">
        <v>2595.3101095981401</v>
      </c>
      <c r="AU282">
        <v>924</v>
      </c>
      <c r="AV282">
        <v>5715</v>
      </c>
      <c r="AW282">
        <v>-2667</v>
      </c>
      <c r="AX282">
        <v>20995</v>
      </c>
      <c r="AY282">
        <v>-610.66522479186904</v>
      </c>
      <c r="AZ282">
        <v>-881.798287022919</v>
      </c>
      <c r="BA282">
        <v>-323.13699999998101</v>
      </c>
      <c r="BB282">
        <v>-9212</v>
      </c>
      <c r="BC282">
        <v>-9843.8867684238903</v>
      </c>
      <c r="BD282">
        <v>-1033.36462896899</v>
      </c>
      <c r="BE282">
        <f t="shared" si="8"/>
        <v>-39189.511552065931</v>
      </c>
      <c r="BF282">
        <f t="shared" si="9"/>
        <v>49777529.52764906</v>
      </c>
    </row>
    <row r="283" spans="1:58" x14ac:dyDescent="0.2">
      <c r="A283" s="1">
        <v>45581</v>
      </c>
      <c r="B283">
        <v>9152</v>
      </c>
      <c r="C283">
        <v>2385</v>
      </c>
      <c r="D283">
        <v>-5380</v>
      </c>
      <c r="E283">
        <v>-1368.1175590816699</v>
      </c>
      <c r="F283">
        <v>6474</v>
      </c>
      <c r="G283">
        <v>-4970.00000000002</v>
      </c>
      <c r="H283">
        <v>-5815.3512719786604</v>
      </c>
      <c r="I283">
        <v>-12264</v>
      </c>
      <c r="J283">
        <v>5915</v>
      </c>
      <c r="K283">
        <v>1932</v>
      </c>
      <c r="L283">
        <v>-1155</v>
      </c>
      <c r="M283">
        <v>-5668.3999999998896</v>
      </c>
      <c r="N283">
        <v>3796.0329500000398</v>
      </c>
      <c r="O283">
        <v>5317.4331001254704</v>
      </c>
      <c r="P283">
        <v>4161</v>
      </c>
      <c r="Q283">
        <v>349.95439673474198</v>
      </c>
      <c r="R283">
        <v>5880</v>
      </c>
      <c r="S283">
        <v>-59.402789400823202</v>
      </c>
      <c r="T283">
        <v>2596</v>
      </c>
      <c r="U283">
        <v>1836</v>
      </c>
      <c r="V283">
        <v>6700</v>
      </c>
      <c r="W283">
        <v>4250</v>
      </c>
      <c r="X283">
        <v>4680</v>
      </c>
      <c r="Y283">
        <v>1870</v>
      </c>
      <c r="Z283">
        <v>2068</v>
      </c>
      <c r="AA283">
        <v>5895</v>
      </c>
      <c r="AC283">
        <v>3820</v>
      </c>
      <c r="AD283">
        <v>-952</v>
      </c>
      <c r="AE283">
        <v>986</v>
      </c>
      <c r="AF283">
        <v>6413</v>
      </c>
      <c r="AG283">
        <v>0</v>
      </c>
      <c r="AH283">
        <v>5280</v>
      </c>
      <c r="AI283">
        <v>13780</v>
      </c>
      <c r="AJ283">
        <v>-402.126429153804</v>
      </c>
      <c r="AK283">
        <v>2162.2972499999901</v>
      </c>
      <c r="AL283">
        <v>7626</v>
      </c>
      <c r="AM283">
        <v>6040</v>
      </c>
      <c r="AN283">
        <v>7680</v>
      </c>
      <c r="AP283">
        <v>8942.6812294459305</v>
      </c>
      <c r="AQ283">
        <v>-64.692137783964696</v>
      </c>
      <c r="AR283">
        <v>3591</v>
      </c>
      <c r="AS283">
        <v>3784</v>
      </c>
      <c r="AT283">
        <v>3768.82227718988</v>
      </c>
      <c r="AU283">
        <v>-990</v>
      </c>
      <c r="AV283">
        <v>-270</v>
      </c>
      <c r="AW283">
        <v>3429</v>
      </c>
      <c r="AX283">
        <v>-9568</v>
      </c>
      <c r="AY283">
        <v>-203.52243515042599</v>
      </c>
      <c r="AZ283">
        <v>1173.3392999999801</v>
      </c>
      <c r="BA283">
        <v>1608.9784244147099</v>
      </c>
      <c r="BB283">
        <v>8526</v>
      </c>
      <c r="BC283">
        <v>3759</v>
      </c>
      <c r="BD283">
        <v>1686.6912908004899</v>
      </c>
      <c r="BE283">
        <f t="shared" si="8"/>
        <v>120183.61759616196</v>
      </c>
      <c r="BF283">
        <f t="shared" si="9"/>
        <v>49897713.145245224</v>
      </c>
    </row>
    <row r="284" spans="1:58" x14ac:dyDescent="0.2">
      <c r="A284" s="1">
        <v>45582</v>
      </c>
      <c r="B284">
        <v>4498</v>
      </c>
      <c r="C284">
        <v>5247</v>
      </c>
      <c r="D284">
        <v>6409.5684370354002</v>
      </c>
      <c r="E284">
        <v>-1069.7924472882901</v>
      </c>
      <c r="F284">
        <v>-4914</v>
      </c>
      <c r="G284">
        <v>-4117.99999999998</v>
      </c>
      <c r="H284">
        <v>12991.5048500128</v>
      </c>
      <c r="I284">
        <v>-11148</v>
      </c>
      <c r="J284">
        <v>447.772741923799</v>
      </c>
      <c r="K284">
        <v>253</v>
      </c>
      <c r="L284">
        <v>-45</v>
      </c>
      <c r="M284">
        <v>5298.3999999998896</v>
      </c>
      <c r="N284">
        <v>9032.9671345046809</v>
      </c>
      <c r="O284">
        <v>-21158.989049644799</v>
      </c>
      <c r="P284">
        <v>2280</v>
      </c>
      <c r="Q284">
        <v>180</v>
      </c>
      <c r="R284">
        <v>1470</v>
      </c>
      <c r="S284">
        <v>-29.536886697273999</v>
      </c>
      <c r="T284">
        <v>10054</v>
      </c>
      <c r="U284">
        <v>1618.2685552487401</v>
      </c>
      <c r="V284">
        <v>1250</v>
      </c>
      <c r="W284">
        <v>2022.5369918920301</v>
      </c>
      <c r="X284">
        <v>1625</v>
      </c>
      <c r="Y284">
        <v>1958</v>
      </c>
      <c r="Z284">
        <v>-752</v>
      </c>
      <c r="AA284">
        <v>1242.00000000001</v>
      </c>
      <c r="AC284">
        <v>4816</v>
      </c>
      <c r="AD284">
        <v>986</v>
      </c>
      <c r="AE284">
        <v>408</v>
      </c>
      <c r="AF284">
        <v>371</v>
      </c>
      <c r="AG284">
        <v>0</v>
      </c>
      <c r="AH284">
        <v>3800.4807030403599</v>
      </c>
      <c r="AI284">
        <v>-2650</v>
      </c>
      <c r="AJ284">
        <v>-330</v>
      </c>
      <c r="AK284">
        <v>-1785.60570968971</v>
      </c>
      <c r="AL284">
        <v>-5859</v>
      </c>
      <c r="AM284">
        <v>4062.7688535523298</v>
      </c>
      <c r="AN284">
        <v>3580</v>
      </c>
      <c r="AP284">
        <v>8.2095879896168604</v>
      </c>
      <c r="AQ284">
        <v>3199.9753551875001</v>
      </c>
      <c r="AR284">
        <v>6156</v>
      </c>
      <c r="AS284">
        <v>1705</v>
      </c>
      <c r="AT284">
        <v>9419.62899359943</v>
      </c>
      <c r="AU284">
        <v>990</v>
      </c>
      <c r="AV284">
        <v>-945</v>
      </c>
      <c r="AW284">
        <v>-1524</v>
      </c>
      <c r="AX284">
        <v>-8346</v>
      </c>
      <c r="AY284">
        <v>0</v>
      </c>
      <c r="AZ284">
        <v>-367.31895773307701</v>
      </c>
      <c r="BA284">
        <v>-999.004117063016</v>
      </c>
      <c r="BB284">
        <v>3430</v>
      </c>
      <c r="BC284">
        <v>12172</v>
      </c>
      <c r="BD284">
        <v>560</v>
      </c>
      <c r="BE284">
        <f t="shared" si="8"/>
        <v>57501.835035870434</v>
      </c>
      <c r="BF284">
        <f t="shared" si="9"/>
        <v>49955214.980281092</v>
      </c>
    </row>
    <row r="285" spans="1:58" x14ac:dyDescent="0.2">
      <c r="A285" s="1">
        <v>45583</v>
      </c>
      <c r="B285">
        <v>2574</v>
      </c>
      <c r="C285">
        <v>212</v>
      </c>
      <c r="D285">
        <v>6240</v>
      </c>
      <c r="E285">
        <v>0</v>
      </c>
      <c r="F285">
        <v>-1638</v>
      </c>
      <c r="G285">
        <v>-5324.99999999995</v>
      </c>
      <c r="H285">
        <v>9840.3762506974199</v>
      </c>
      <c r="I285">
        <v>-4941.0787917746202</v>
      </c>
      <c r="J285">
        <v>2027.7728053855701</v>
      </c>
      <c r="K285">
        <v>1932</v>
      </c>
      <c r="L285">
        <v>690</v>
      </c>
      <c r="M285">
        <v>9377.0393431609791</v>
      </c>
      <c r="N285">
        <v>13363.08432</v>
      </c>
      <c r="O285">
        <v>3418.33893098203</v>
      </c>
      <c r="P285">
        <v>5586</v>
      </c>
      <c r="Q285">
        <v>320</v>
      </c>
      <c r="R285">
        <v>4116</v>
      </c>
      <c r="S285">
        <v>6930.5126342469703</v>
      </c>
      <c r="T285">
        <v>3025</v>
      </c>
      <c r="U285">
        <v>1666.0133772630199</v>
      </c>
      <c r="V285">
        <v>3350</v>
      </c>
      <c r="W285">
        <v>4789.0349899940502</v>
      </c>
      <c r="X285">
        <v>-2532.8437099615899</v>
      </c>
      <c r="Y285">
        <v>3292.8836964974198</v>
      </c>
      <c r="Z285">
        <v>2256</v>
      </c>
      <c r="AA285">
        <v>3128.0064512265599</v>
      </c>
      <c r="AC285">
        <v>1856</v>
      </c>
      <c r="AD285">
        <v>4862</v>
      </c>
      <c r="AE285">
        <v>374</v>
      </c>
      <c r="AF285">
        <v>1802</v>
      </c>
      <c r="AG285">
        <v>0</v>
      </c>
      <c r="AH285">
        <v>518.13373840683698</v>
      </c>
      <c r="AI285">
        <v>1325</v>
      </c>
      <c r="AJ285">
        <v>-1140</v>
      </c>
      <c r="AK285">
        <v>-802.36860000000001</v>
      </c>
      <c r="AL285">
        <v>1395</v>
      </c>
      <c r="AM285">
        <v>1670.29982639319</v>
      </c>
      <c r="AN285">
        <v>2109.3543800768498</v>
      </c>
      <c r="AP285">
        <v>-33</v>
      </c>
      <c r="AQ285">
        <v>7201.2155830199599</v>
      </c>
      <c r="AR285">
        <v>-1718.1529913688901</v>
      </c>
      <c r="AS285">
        <v>9185</v>
      </c>
      <c r="AT285">
        <v>9833.9903119749597</v>
      </c>
      <c r="AU285">
        <v>-6204</v>
      </c>
      <c r="AV285">
        <v>3645</v>
      </c>
      <c r="AW285">
        <v>6477</v>
      </c>
      <c r="AX285">
        <v>-7852</v>
      </c>
      <c r="AY285">
        <v>0</v>
      </c>
      <c r="AZ285">
        <v>1349.70898253224</v>
      </c>
      <c r="BA285">
        <v>-5382.5216200000305</v>
      </c>
      <c r="BB285">
        <v>-196</v>
      </c>
      <c r="BC285">
        <v>20394.468763668101</v>
      </c>
      <c r="BD285">
        <v>854.91235243349001</v>
      </c>
      <c r="BE285">
        <f t="shared" si="8"/>
        <v>125222.18102485457</v>
      </c>
      <c r="BF285">
        <f t="shared" si="9"/>
        <v>50080437.161305949</v>
      </c>
    </row>
    <row r="286" spans="1:58" x14ac:dyDescent="0.2">
      <c r="A286" s="1">
        <v>45586</v>
      </c>
      <c r="B286">
        <v>3410.0331602986298</v>
      </c>
      <c r="C286">
        <v>-1961</v>
      </c>
      <c r="D286">
        <v>-4160</v>
      </c>
      <c r="E286">
        <v>-432</v>
      </c>
      <c r="F286">
        <v>6357</v>
      </c>
      <c r="G286">
        <v>5963.99999999997</v>
      </c>
      <c r="H286">
        <v>-12323.773098511099</v>
      </c>
      <c r="I286">
        <v>3103.4569071927099</v>
      </c>
      <c r="J286">
        <v>-4967.4588355402702</v>
      </c>
      <c r="K286">
        <v>340.17237071066899</v>
      </c>
      <c r="L286">
        <v>-45</v>
      </c>
      <c r="M286">
        <v>8597.0344258338191</v>
      </c>
      <c r="N286">
        <v>5437.9300800000501</v>
      </c>
      <c r="O286">
        <v>2615.2103562298898</v>
      </c>
      <c r="P286">
        <v>-5808.9523329560998</v>
      </c>
      <c r="Q286">
        <v>0</v>
      </c>
      <c r="R286">
        <v>-6468</v>
      </c>
      <c r="S286">
        <v>-3384</v>
      </c>
      <c r="T286">
        <v>3729</v>
      </c>
      <c r="U286">
        <v>2179.26490920879</v>
      </c>
      <c r="V286">
        <v>-950</v>
      </c>
      <c r="W286">
        <v>165.035116899115</v>
      </c>
      <c r="X286">
        <v>510</v>
      </c>
      <c r="Y286">
        <v>-4207.3664736279698</v>
      </c>
      <c r="Z286">
        <v>0</v>
      </c>
      <c r="AA286">
        <v>-714.97911445543298</v>
      </c>
      <c r="AC286">
        <v>-598.16677838583405</v>
      </c>
      <c r="AD286">
        <v>0</v>
      </c>
      <c r="AE286">
        <v>-646</v>
      </c>
      <c r="AF286">
        <v>1363.7303956543899</v>
      </c>
      <c r="AG286">
        <v>-161.78776815582501</v>
      </c>
      <c r="AH286">
        <v>-3156.6623146766301</v>
      </c>
      <c r="AI286">
        <v>5812.4029097672201</v>
      </c>
      <c r="AJ286">
        <v>-999.418698938744</v>
      </c>
      <c r="AK286">
        <v>2386.3256999999999</v>
      </c>
      <c r="AL286">
        <v>2604</v>
      </c>
      <c r="AM286">
        <v>-2458.3384697962101</v>
      </c>
      <c r="AN286">
        <v>-3486.6129820769302</v>
      </c>
      <c r="AP286">
        <v>24</v>
      </c>
      <c r="AQ286">
        <v>683.20009404640598</v>
      </c>
      <c r="AR286">
        <v>4328.2612806419102</v>
      </c>
      <c r="AS286">
        <v>-818.405726275662</v>
      </c>
      <c r="AT286">
        <v>-20848.696848580799</v>
      </c>
      <c r="AU286">
        <v>-2487.2364720236101</v>
      </c>
      <c r="AV286">
        <v>-4590</v>
      </c>
      <c r="AW286">
        <v>1077.8672852939201</v>
      </c>
      <c r="AX286">
        <v>6362.05637960888</v>
      </c>
      <c r="AY286">
        <v>3384.2877199999598</v>
      </c>
      <c r="AZ286">
        <v>-1365.5005499804799</v>
      </c>
      <c r="BA286">
        <v>224.92855000005099</v>
      </c>
      <c r="BB286">
        <v>770.589433964656</v>
      </c>
      <c r="BC286">
        <v>7644</v>
      </c>
      <c r="BD286">
        <v>-1342.9350608008101</v>
      </c>
      <c r="BE286">
        <f t="shared" si="8"/>
        <v>-9308.5044494313679</v>
      </c>
      <c r="BF286">
        <f t="shared" si="9"/>
        <v>50071128.656856515</v>
      </c>
    </row>
    <row r="287" spans="1:58" x14ac:dyDescent="0.2">
      <c r="A287" s="1">
        <v>45587</v>
      </c>
      <c r="B287">
        <v>5432.0353698539102</v>
      </c>
      <c r="C287">
        <v>8480</v>
      </c>
      <c r="D287">
        <v>-1040</v>
      </c>
      <c r="E287">
        <v>-5136</v>
      </c>
      <c r="F287">
        <v>897</v>
      </c>
      <c r="G287">
        <v>3691.99999999997</v>
      </c>
      <c r="H287">
        <v>-7845.3633300000001</v>
      </c>
      <c r="I287">
        <v>4887</v>
      </c>
      <c r="J287">
        <v>10449</v>
      </c>
      <c r="K287">
        <v>6708.2670168163304</v>
      </c>
      <c r="L287">
        <v>-665</v>
      </c>
      <c r="M287">
        <v>13238.219639671701</v>
      </c>
      <c r="N287">
        <v>6768.4874399998898</v>
      </c>
      <c r="O287">
        <v>10185</v>
      </c>
      <c r="P287">
        <v>8723</v>
      </c>
      <c r="Q287">
        <v>440</v>
      </c>
      <c r="R287">
        <v>2940</v>
      </c>
      <c r="S287">
        <v>9729</v>
      </c>
      <c r="T287">
        <v>2002</v>
      </c>
      <c r="U287">
        <v>-1069.7360179595901</v>
      </c>
      <c r="V287">
        <v>2714.01262217147</v>
      </c>
      <c r="W287">
        <v>2187.0271170753099</v>
      </c>
      <c r="X287">
        <v>840</v>
      </c>
      <c r="Y287">
        <v>7046</v>
      </c>
      <c r="Z287">
        <v>1880</v>
      </c>
      <c r="AA287">
        <v>2577.0126917283401</v>
      </c>
      <c r="AC287">
        <v>-1765</v>
      </c>
      <c r="AD287">
        <v>-306</v>
      </c>
      <c r="AE287">
        <v>1292</v>
      </c>
      <c r="AF287">
        <v>8987.5259312648104</v>
      </c>
      <c r="AG287">
        <v>700</v>
      </c>
      <c r="AH287">
        <v>998.83858654220205</v>
      </c>
      <c r="AI287">
        <v>4404.25687411934</v>
      </c>
      <c r="AJ287">
        <v>33.002063139609803</v>
      </c>
      <c r="AK287">
        <v>6078.7823758371196</v>
      </c>
      <c r="AL287">
        <v>-1767</v>
      </c>
      <c r="AM287">
        <v>5390.8167495237703</v>
      </c>
      <c r="AN287">
        <v>6018.6877084879397</v>
      </c>
      <c r="AP287">
        <v>-24</v>
      </c>
      <c r="AQ287">
        <v>3016.2036299449001</v>
      </c>
      <c r="AR287">
        <v>3061.3954335220401</v>
      </c>
      <c r="AS287">
        <v>4363.1536170752097</v>
      </c>
      <c r="AT287">
        <v>4601.7625669385498</v>
      </c>
      <c r="AU287">
        <v>-1741.7268032581801</v>
      </c>
      <c r="AV287">
        <v>9675</v>
      </c>
      <c r="AW287">
        <v>6875.8612489342304</v>
      </c>
      <c r="AX287">
        <v>7788</v>
      </c>
      <c r="AY287">
        <v>5487.9553224971496</v>
      </c>
      <c r="AZ287">
        <v>-356.19392000005899</v>
      </c>
      <c r="BA287">
        <v>2789.1140199998899</v>
      </c>
      <c r="BB287">
        <v>4372.8147584520302</v>
      </c>
      <c r="BC287">
        <v>879.28527623519994</v>
      </c>
      <c r="BD287">
        <v>2077</v>
      </c>
      <c r="BE287">
        <f t="shared" si="8"/>
        <v>178990.49798861309</v>
      </c>
      <c r="BF287">
        <f t="shared" si="9"/>
        <v>50250119.154845126</v>
      </c>
    </row>
    <row r="288" spans="1:58" x14ac:dyDescent="0.2">
      <c r="A288" s="1">
        <v>45588</v>
      </c>
      <c r="B288">
        <v>10064.0375920195</v>
      </c>
      <c r="C288">
        <v>-1086.1572355513799</v>
      </c>
      <c r="D288">
        <v>4160</v>
      </c>
      <c r="E288">
        <v>-475.21659347800102</v>
      </c>
      <c r="F288">
        <v>702</v>
      </c>
      <c r="G288">
        <v>-3408</v>
      </c>
      <c r="H288">
        <v>-8215.3619039999994</v>
      </c>
      <c r="I288">
        <v>-5517</v>
      </c>
      <c r="J288">
        <v>5719</v>
      </c>
      <c r="K288">
        <v>-2449.5645071354102</v>
      </c>
      <c r="L288">
        <v>405</v>
      </c>
      <c r="M288">
        <v>-10676.6499670633</v>
      </c>
      <c r="N288">
        <v>-7647.8178931729799</v>
      </c>
      <c r="O288">
        <v>-10572.9999999999</v>
      </c>
      <c r="P288">
        <v>-331.05294499079798</v>
      </c>
      <c r="Q288">
        <v>240</v>
      </c>
      <c r="R288">
        <v>-147</v>
      </c>
      <c r="S288">
        <v>846</v>
      </c>
      <c r="T288">
        <v>-177.60976055245399</v>
      </c>
      <c r="U288">
        <v>5029.5104316689003</v>
      </c>
      <c r="V288">
        <v>9900</v>
      </c>
      <c r="W288">
        <v>3589.0131775135601</v>
      </c>
      <c r="X288">
        <v>5550</v>
      </c>
      <c r="Y288">
        <v>13434.8585811014</v>
      </c>
      <c r="Z288">
        <v>2953.5594561633998</v>
      </c>
      <c r="AA288">
        <v>7951.9986058265904</v>
      </c>
      <c r="AC288">
        <v>14560</v>
      </c>
      <c r="AD288">
        <v>1974.6084234922</v>
      </c>
      <c r="AE288">
        <v>333.39603674262298</v>
      </c>
      <c r="AF288">
        <v>7039.5259312648104</v>
      </c>
      <c r="AG288">
        <v>-5261.1186145269503</v>
      </c>
      <c r="AH288">
        <v>-4131.4674585810399</v>
      </c>
      <c r="AI288">
        <v>-2389.8090786596399</v>
      </c>
      <c r="AJ288">
        <v>-149.47733405401999</v>
      </c>
      <c r="AK288">
        <v>4016.3307621110998</v>
      </c>
      <c r="AL288">
        <v>-6231</v>
      </c>
      <c r="AM288">
        <v>7147.6158946085097</v>
      </c>
      <c r="AN288">
        <v>6089.37569026028</v>
      </c>
      <c r="AP288">
        <v>-51</v>
      </c>
      <c r="AQ288">
        <v>13083.017129085099</v>
      </c>
      <c r="AR288">
        <v>6954.2005627944</v>
      </c>
      <c r="AS288">
        <v>4007.1416894377398</v>
      </c>
      <c r="AT288">
        <v>-4559.35967904667</v>
      </c>
      <c r="AU288">
        <v>-1694.52352237016</v>
      </c>
      <c r="AV288">
        <v>-5872.4029971842701</v>
      </c>
      <c r="AW288">
        <v>17697.655000403502</v>
      </c>
      <c r="AX288">
        <v>-3267</v>
      </c>
      <c r="AY288">
        <v>-811.69363087136503</v>
      </c>
      <c r="AZ288">
        <v>2387.6345990776699</v>
      </c>
      <c r="BA288">
        <v>9102.0028400000392</v>
      </c>
      <c r="BB288">
        <v>5167.63195450282</v>
      </c>
      <c r="BC288">
        <v>7185.4207111235501</v>
      </c>
      <c r="BD288">
        <v>579.07481332262705</v>
      </c>
      <c r="BE288">
        <f t="shared" si="8"/>
        <v>92746.326761281991</v>
      </c>
      <c r="BF288">
        <f t="shared" si="9"/>
        <v>50342865.481606409</v>
      </c>
    </row>
    <row r="289" spans="1:58" x14ac:dyDescent="0.2">
      <c r="A289" s="1">
        <v>45589</v>
      </c>
      <c r="B289">
        <v>15667.9704313114</v>
      </c>
      <c r="C289">
        <v>4641.2690441170498</v>
      </c>
      <c r="D289">
        <v>-6269.2480269932403</v>
      </c>
      <c r="E289">
        <v>907.122917912812</v>
      </c>
      <c r="F289">
        <v>7942.1304321090502</v>
      </c>
      <c r="G289">
        <v>4970.00000000002</v>
      </c>
      <c r="H289">
        <v>7304.9655599999996</v>
      </c>
      <c r="I289">
        <v>8109</v>
      </c>
      <c r="J289">
        <v>7295.4969568973602</v>
      </c>
      <c r="K289">
        <v>1953</v>
      </c>
      <c r="L289">
        <v>1090</v>
      </c>
      <c r="M289">
        <v>2754.6999999999398</v>
      </c>
      <c r="N289">
        <v>2907.4131800001201</v>
      </c>
      <c r="O289">
        <v>-27.728091589207601</v>
      </c>
      <c r="P289">
        <v>3764.8092085469898</v>
      </c>
      <c r="Q289">
        <v>569.96322298694304</v>
      </c>
      <c r="R289">
        <v>3969</v>
      </c>
      <c r="S289">
        <v>4620.3737901643099</v>
      </c>
      <c r="T289">
        <v>13322.2038723142</v>
      </c>
      <c r="U289">
        <v>5101.3015049537798</v>
      </c>
      <c r="V289">
        <v>3150</v>
      </c>
      <c r="W289">
        <v>4861.4792777865396</v>
      </c>
      <c r="X289">
        <v>1856.63778881028</v>
      </c>
      <c r="Y289">
        <v>680.57587846037995</v>
      </c>
      <c r="Z289">
        <v>878.91363949103095</v>
      </c>
      <c r="AA289">
        <v>1988.00048247468</v>
      </c>
      <c r="AC289">
        <v>5692.4650582711902</v>
      </c>
      <c r="AD289">
        <v>4303.2052920074702</v>
      </c>
      <c r="AE289">
        <v>364.14284009069303</v>
      </c>
      <c r="AF289">
        <v>4319.19732034969</v>
      </c>
      <c r="AG289">
        <v>1892</v>
      </c>
      <c r="AH289">
        <v>360</v>
      </c>
      <c r="AI289">
        <v>12124.646580569601</v>
      </c>
      <c r="AJ289">
        <v>4452.1842229378599</v>
      </c>
      <c r="AK289">
        <v>5297.36462792764</v>
      </c>
      <c r="AL289">
        <v>3255</v>
      </c>
      <c r="AM289">
        <v>2430.6137149218898</v>
      </c>
      <c r="AN289">
        <v>3175.3733960437899</v>
      </c>
      <c r="AP289">
        <v>-330</v>
      </c>
      <c r="AQ289">
        <v>-7745.9013648566997</v>
      </c>
      <c r="AR289">
        <v>24162.673228117299</v>
      </c>
      <c r="AS289">
        <v>6267.1163391853397</v>
      </c>
      <c r="AT289">
        <v>4872.7888833671896</v>
      </c>
      <c r="AU289">
        <v>-404.06477748137701</v>
      </c>
      <c r="AV289">
        <v>5184</v>
      </c>
      <c r="AW289">
        <v>-5968.8130275916301</v>
      </c>
      <c r="AX289">
        <v>5698</v>
      </c>
      <c r="AY289">
        <v>0</v>
      </c>
      <c r="AZ289">
        <v>-2788.22209868749</v>
      </c>
      <c r="BA289">
        <v>-2243.192</v>
      </c>
      <c r="BB289">
        <v>7602.2188662339804</v>
      </c>
      <c r="BC289">
        <v>-233.49815840373299</v>
      </c>
      <c r="BD289">
        <v>-371.88373513698099</v>
      </c>
      <c r="BE289">
        <f t="shared" si="8"/>
        <v>185376.76627762013</v>
      </c>
      <c r="BF289">
        <f t="shared" si="9"/>
        <v>50528242.247884028</v>
      </c>
    </row>
    <row r="290" spans="1:58" x14ac:dyDescent="0.2">
      <c r="A290" s="1">
        <v>45590</v>
      </c>
      <c r="B290">
        <v>18639.906174196902</v>
      </c>
      <c r="C290">
        <v>6601.2115304131103</v>
      </c>
      <c r="D290">
        <v>25512</v>
      </c>
      <c r="E290">
        <v>-1275.2596250817101</v>
      </c>
      <c r="F290">
        <v>-1469.3703580055301</v>
      </c>
      <c r="G290">
        <v>-2555.99999999997</v>
      </c>
      <c r="H290">
        <v>5251.4332649999997</v>
      </c>
      <c r="I290">
        <v>1611</v>
      </c>
      <c r="J290">
        <v>3514.1457380212601</v>
      </c>
      <c r="K290">
        <v>6513.5074362406503</v>
      </c>
      <c r="L290">
        <v>936.19418578477905</v>
      </c>
      <c r="M290">
        <v>-2086.39999999988</v>
      </c>
      <c r="N290">
        <v>4397.0244499999999</v>
      </c>
      <c r="O290">
        <v>10628.2084123612</v>
      </c>
      <c r="P290">
        <v>3454.08736372975</v>
      </c>
      <c r="Q290">
        <v>1089.8334313089699</v>
      </c>
      <c r="R290">
        <v>4985.6846857149103</v>
      </c>
      <c r="S290">
        <v>19730.0412716668</v>
      </c>
      <c r="T290">
        <v>11804</v>
      </c>
      <c r="U290">
        <v>9946.2722442355407</v>
      </c>
      <c r="V290">
        <v>20625</v>
      </c>
      <c r="W290">
        <v>632.14854087068602</v>
      </c>
      <c r="X290">
        <v>4315.2664692687404</v>
      </c>
      <c r="Y290">
        <v>18975.604511777401</v>
      </c>
      <c r="Z290">
        <v>8381.7418975109395</v>
      </c>
      <c r="AA290">
        <v>20291.928918318801</v>
      </c>
      <c r="AC290">
        <v>13761.2646990506</v>
      </c>
      <c r="AD290">
        <v>6762.5915745454704</v>
      </c>
      <c r="AE290">
        <v>3151.2056774935199</v>
      </c>
      <c r="AF290">
        <v>19546.727913847</v>
      </c>
      <c r="AG290">
        <v>-4554</v>
      </c>
      <c r="AH290">
        <v>17280</v>
      </c>
      <c r="AI290">
        <v>28238.152346278901</v>
      </c>
      <c r="AJ290">
        <v>7668.43601466988</v>
      </c>
      <c r="AK290">
        <v>16650.205729188299</v>
      </c>
      <c r="AL290">
        <v>7347</v>
      </c>
      <c r="AM290">
        <v>19464.381667173198</v>
      </c>
      <c r="AN290">
        <v>17244.310375969599</v>
      </c>
      <c r="AP290">
        <v>-66</v>
      </c>
      <c r="AQ290">
        <v>22624</v>
      </c>
      <c r="AR290">
        <v>20640</v>
      </c>
      <c r="AS290">
        <v>9667.1492183176797</v>
      </c>
      <c r="AT290">
        <v>10850</v>
      </c>
      <c r="AU290">
        <v>1904.9674530595801</v>
      </c>
      <c r="AV290">
        <v>-1846.58439891531</v>
      </c>
      <c r="AW290">
        <v>17974</v>
      </c>
      <c r="AX290">
        <v>396</v>
      </c>
      <c r="AY290">
        <v>377.46431999995798</v>
      </c>
      <c r="AZ290">
        <v>223.027599999975</v>
      </c>
      <c r="BA290">
        <v>-2337.8324867667602</v>
      </c>
      <c r="BB290">
        <v>24853.053548689299</v>
      </c>
      <c r="BC290">
        <v>812.83841468984201</v>
      </c>
      <c r="BD290">
        <v>5360.3801256807701</v>
      </c>
      <c r="BE290">
        <f t="shared" si="8"/>
        <v>464441.9503363049</v>
      </c>
      <c r="BF290">
        <f t="shared" si="9"/>
        <v>50992684.198220335</v>
      </c>
    </row>
    <row r="291" spans="1:58" x14ac:dyDescent="0.2">
      <c r="A291" s="1">
        <v>45593</v>
      </c>
      <c r="B291">
        <v>20032</v>
      </c>
      <c r="C291">
        <v>13775.6211864908</v>
      </c>
      <c r="D291">
        <v>30793.374486414901</v>
      </c>
      <c r="E291">
        <v>-1009.26281917994</v>
      </c>
      <c r="F291">
        <v>6663.2895533384199</v>
      </c>
      <c r="G291">
        <v>9300.9999999998909</v>
      </c>
      <c r="H291">
        <v>6489.7980479999997</v>
      </c>
      <c r="I291">
        <v>15093</v>
      </c>
      <c r="J291">
        <v>15439.106980377899</v>
      </c>
      <c r="K291">
        <v>1674.98036730941</v>
      </c>
      <c r="L291">
        <v>5146.4701856300599</v>
      </c>
      <c r="M291">
        <v>22445.1000000001</v>
      </c>
      <c r="N291">
        <v>3992.2934099997501</v>
      </c>
      <c r="O291">
        <v>16339.9999999998</v>
      </c>
      <c r="P291">
        <v>16066.5057292331</v>
      </c>
      <c r="Q291">
        <v>1069.7077835443599</v>
      </c>
      <c r="R291">
        <v>11940.8474953023</v>
      </c>
      <c r="S291">
        <v>15210</v>
      </c>
      <c r="T291">
        <v>25147.461390182802</v>
      </c>
      <c r="U291">
        <v>7856.7650906338104</v>
      </c>
      <c r="V291">
        <v>28650</v>
      </c>
      <c r="W291">
        <v>23245.741613651</v>
      </c>
      <c r="X291">
        <v>4266</v>
      </c>
      <c r="Y291">
        <v>18232.779471314101</v>
      </c>
      <c r="Z291">
        <v>4301.4992167281398</v>
      </c>
      <c r="AA291">
        <v>28345.895213101499</v>
      </c>
      <c r="AC291">
        <v>21665</v>
      </c>
      <c r="AD291">
        <v>8662.5754867963897</v>
      </c>
      <c r="AE291">
        <v>12049.897521488199</v>
      </c>
      <c r="AF291">
        <v>12069</v>
      </c>
      <c r="AG291">
        <v>-5174.6532378268703</v>
      </c>
      <c r="AH291">
        <v>21571.921166266398</v>
      </c>
      <c r="AI291">
        <v>39480</v>
      </c>
      <c r="AJ291">
        <v>17055.716795338602</v>
      </c>
      <c r="AK291">
        <v>35959.640399999997</v>
      </c>
      <c r="AL291">
        <v>6417</v>
      </c>
      <c r="AM291">
        <v>14700.633271806701</v>
      </c>
      <c r="AN291">
        <v>13200.6390694209</v>
      </c>
      <c r="AP291">
        <v>129</v>
      </c>
      <c r="AQ291">
        <v>29694</v>
      </c>
      <c r="AR291">
        <v>20855</v>
      </c>
      <c r="AS291">
        <v>17233.461515189199</v>
      </c>
      <c r="AT291">
        <v>24738</v>
      </c>
      <c r="AU291">
        <v>-1156.4896616604101</v>
      </c>
      <c r="AV291">
        <v>787.85493064199898</v>
      </c>
      <c r="AW291">
        <v>17957.203522004598</v>
      </c>
      <c r="AX291">
        <v>18238</v>
      </c>
      <c r="AY291">
        <v>11499.337529999901</v>
      </c>
      <c r="AZ291">
        <v>-1338.3971999999701</v>
      </c>
      <c r="BA291">
        <v>2288.3975999999402</v>
      </c>
      <c r="BB291">
        <v>15840</v>
      </c>
      <c r="BC291">
        <v>5515.0066796323799</v>
      </c>
      <c r="BD291">
        <v>7829.7255277370496</v>
      </c>
      <c r="BE291">
        <f t="shared" si="8"/>
        <v>718277.44531890703</v>
      </c>
      <c r="BF291">
        <f t="shared" si="9"/>
        <v>51710961.643539242</v>
      </c>
    </row>
    <row r="292" spans="1:58" x14ac:dyDescent="0.2">
      <c r="A292" s="1">
        <v>45594</v>
      </c>
      <c r="B292">
        <v>320</v>
      </c>
      <c r="C292">
        <v>-3059.5866011445901</v>
      </c>
      <c r="D292">
        <v>-19602</v>
      </c>
      <c r="E292">
        <v>-134.84799090542899</v>
      </c>
      <c r="F292">
        <v>-7255.7680419129401</v>
      </c>
      <c r="G292">
        <v>-2484.9999999998799</v>
      </c>
      <c r="H292">
        <v>-2531.1131786935898</v>
      </c>
      <c r="I292">
        <v>-2484</v>
      </c>
      <c r="J292">
        <v>-7635.6370567288504</v>
      </c>
      <c r="K292">
        <v>-7097.0184776864799</v>
      </c>
      <c r="L292">
        <v>-2318.56066386359</v>
      </c>
      <c r="M292">
        <v>12925.8999999998</v>
      </c>
      <c r="N292">
        <v>15292.5137400002</v>
      </c>
      <c r="O292">
        <v>6840.00000000009</v>
      </c>
      <c r="P292">
        <v>-11534</v>
      </c>
      <c r="Q292">
        <v>-2510.4026398348801</v>
      </c>
      <c r="R292">
        <v>-4855.4131692381497</v>
      </c>
      <c r="S292">
        <v>-2535</v>
      </c>
      <c r="T292">
        <v>-6412</v>
      </c>
      <c r="U292">
        <v>-2597.7290164906499</v>
      </c>
      <c r="V292">
        <v>-6900</v>
      </c>
      <c r="W292">
        <v>-3432</v>
      </c>
      <c r="X292">
        <v>71.269153695015305</v>
      </c>
      <c r="Y292">
        <v>-1888.22084691485</v>
      </c>
      <c r="Z292">
        <v>-4532.3832118990404</v>
      </c>
      <c r="AA292">
        <v>-7331.50000000002</v>
      </c>
      <c r="AC292">
        <v>6300</v>
      </c>
      <c r="AD292">
        <v>2075.5807530192001</v>
      </c>
      <c r="AE292">
        <v>-1958.7303819287099</v>
      </c>
      <c r="AF292">
        <v>-1458</v>
      </c>
      <c r="AG292">
        <v>1722.09867562199</v>
      </c>
      <c r="AH292">
        <v>-1323</v>
      </c>
      <c r="AI292">
        <v>4935</v>
      </c>
      <c r="AJ292">
        <v>-3373.1176784245899</v>
      </c>
      <c r="AK292">
        <v>-6573.2676000000001</v>
      </c>
      <c r="AL292">
        <v>-3339.5774796115802</v>
      </c>
      <c r="AM292">
        <v>-442.677865975597</v>
      </c>
      <c r="AN292">
        <v>1007.9418782502401</v>
      </c>
      <c r="AP292">
        <v>408</v>
      </c>
      <c r="AQ292">
        <v>1313</v>
      </c>
      <c r="AR292">
        <v>3225</v>
      </c>
      <c r="AS292">
        <v>-2462.4368817708801</v>
      </c>
      <c r="AT292">
        <v>-6510</v>
      </c>
      <c r="AU292">
        <v>177.61991901856001</v>
      </c>
      <c r="AV292">
        <v>929.77400156363797</v>
      </c>
      <c r="AW292">
        <v>-12011.989193530801</v>
      </c>
      <c r="AX292">
        <v>-1309</v>
      </c>
      <c r="AY292">
        <v>-1222.3578007225799</v>
      </c>
      <c r="AZ292">
        <v>6245.8535999999303</v>
      </c>
      <c r="BA292">
        <v>7882.2584000000497</v>
      </c>
      <c r="BB292">
        <v>-4488</v>
      </c>
      <c r="BC292">
        <v>-2877.6022267661101</v>
      </c>
      <c r="BD292">
        <v>-2430</v>
      </c>
      <c r="BE292">
        <f t="shared" si="8"/>
        <v>-89240.127882875036</v>
      </c>
      <c r="BF292">
        <f t="shared" si="9"/>
        <v>51621721.515656367</v>
      </c>
    </row>
    <row r="293" spans="1:58" x14ac:dyDescent="0.2">
      <c r="A293" s="1">
        <v>45595</v>
      </c>
      <c r="B293">
        <v>-1462.1514325936901</v>
      </c>
      <c r="C293">
        <v>-1250.34782397345</v>
      </c>
      <c r="D293">
        <v>-2192.22573197878</v>
      </c>
      <c r="E293">
        <v>391.658569752098</v>
      </c>
      <c r="F293">
        <v>4264</v>
      </c>
      <c r="G293">
        <v>-1704.00000000006</v>
      </c>
      <c r="H293">
        <v>-18291.297479758599</v>
      </c>
      <c r="I293">
        <v>-889.65749378184</v>
      </c>
      <c r="J293">
        <v>-4050</v>
      </c>
      <c r="K293">
        <v>-2496</v>
      </c>
      <c r="L293">
        <v>604.09127035859399</v>
      </c>
      <c r="M293">
        <v>6960.1000000001104</v>
      </c>
      <c r="N293">
        <v>13816.3829999998</v>
      </c>
      <c r="O293">
        <v>-9120</v>
      </c>
      <c r="P293">
        <v>-3555</v>
      </c>
      <c r="Q293">
        <v>220</v>
      </c>
      <c r="R293">
        <v>-3760</v>
      </c>
      <c r="S293">
        <v>0</v>
      </c>
      <c r="T293">
        <v>3864</v>
      </c>
      <c r="U293">
        <v>-8038.1797787611104</v>
      </c>
      <c r="V293">
        <v>-2100</v>
      </c>
      <c r="W293">
        <v>-413.54166730813398</v>
      </c>
      <c r="X293">
        <v>-2960</v>
      </c>
      <c r="Y293">
        <v>-8854.4737361277002</v>
      </c>
      <c r="Z293">
        <v>-2052</v>
      </c>
      <c r="AA293">
        <v>-2340.49999999991</v>
      </c>
      <c r="AC293">
        <v>-12621</v>
      </c>
      <c r="AD293">
        <v>83.056590200377101</v>
      </c>
      <c r="AE293">
        <v>-6654.1443551497496</v>
      </c>
      <c r="AF293">
        <v>16438.3052158106</v>
      </c>
      <c r="AG293">
        <v>0</v>
      </c>
      <c r="AH293">
        <v>-4374.9987135211404</v>
      </c>
      <c r="AI293">
        <v>-18753</v>
      </c>
      <c r="AJ293">
        <v>2061.67728083365</v>
      </c>
      <c r="AK293">
        <v>-6222.72</v>
      </c>
      <c r="AL293">
        <v>-16369.9917012689</v>
      </c>
      <c r="AM293">
        <v>-6694.5423403933901</v>
      </c>
      <c r="AN293">
        <v>-7220.6610412313303</v>
      </c>
      <c r="AP293">
        <v>45</v>
      </c>
      <c r="AQ293">
        <v>-4646</v>
      </c>
      <c r="AR293">
        <v>-1935</v>
      </c>
      <c r="AS293">
        <v>-3836.5659371665001</v>
      </c>
      <c r="AT293">
        <v>2170</v>
      </c>
      <c r="AU293">
        <v>-296.82712009768301</v>
      </c>
      <c r="AV293">
        <v>1812.38054488732</v>
      </c>
      <c r="AW293">
        <v>-2425</v>
      </c>
      <c r="AX293">
        <v>-7689</v>
      </c>
      <c r="AY293">
        <v>0</v>
      </c>
      <c r="AZ293">
        <v>-3530.6786940315301</v>
      </c>
      <c r="BA293">
        <v>-5178.3561567960696</v>
      </c>
      <c r="BB293">
        <v>-3828</v>
      </c>
      <c r="BC293">
        <v>-9541.6504119785495</v>
      </c>
      <c r="BD293">
        <v>-1730.7144412396201</v>
      </c>
      <c r="BE293">
        <f t="shared" si="8"/>
        <v>-146347.5735853152</v>
      </c>
      <c r="BF293">
        <f t="shared" si="9"/>
        <v>51475373.94207105</v>
      </c>
    </row>
    <row r="294" spans="1:58" x14ac:dyDescent="0.2">
      <c r="A294" s="1">
        <v>45596</v>
      </c>
      <c r="B294">
        <v>19404</v>
      </c>
      <c r="C294">
        <v>8492.2013836008991</v>
      </c>
      <c r="D294">
        <v>10684.4602081584</v>
      </c>
      <c r="E294">
        <v>3147.8041743772701</v>
      </c>
      <c r="F294">
        <v>3640</v>
      </c>
      <c r="G294">
        <v>-1703.99999999993</v>
      </c>
      <c r="H294">
        <v>-35534.546249999999</v>
      </c>
      <c r="I294">
        <v>540</v>
      </c>
      <c r="J294">
        <v>20520</v>
      </c>
      <c r="K294">
        <v>5421</v>
      </c>
      <c r="L294">
        <v>5092.1614053553103</v>
      </c>
      <c r="M294">
        <v>-27155.8</v>
      </c>
      <c r="N294">
        <v>-27971.075518885598</v>
      </c>
      <c r="O294">
        <v>0</v>
      </c>
      <c r="P294">
        <v>4345</v>
      </c>
      <c r="Q294">
        <v>1870</v>
      </c>
      <c r="R294">
        <v>9400</v>
      </c>
      <c r="S294">
        <v>4056</v>
      </c>
      <c r="T294">
        <v>14644</v>
      </c>
      <c r="U294">
        <v>6992</v>
      </c>
      <c r="V294">
        <v>17550</v>
      </c>
      <c r="W294">
        <v>23782.271666467601</v>
      </c>
      <c r="X294">
        <v>7920</v>
      </c>
      <c r="Y294">
        <v>25272</v>
      </c>
      <c r="Z294">
        <v>11628</v>
      </c>
      <c r="AA294">
        <v>18502.897470276901</v>
      </c>
      <c r="AC294">
        <v>23800</v>
      </c>
      <c r="AD294">
        <v>3013.5306681185898</v>
      </c>
      <c r="AE294">
        <v>12648</v>
      </c>
      <c r="AF294">
        <v>34358</v>
      </c>
      <c r="AG294">
        <v>0</v>
      </c>
      <c r="AH294">
        <v>25542</v>
      </c>
      <c r="AI294">
        <v>41783</v>
      </c>
      <c r="AJ294">
        <v>8458.0939334733503</v>
      </c>
      <c r="AK294">
        <v>14793.5672</v>
      </c>
      <c r="AL294">
        <v>5732.4581550891799</v>
      </c>
      <c r="AM294">
        <v>23446</v>
      </c>
      <c r="AN294">
        <v>24124</v>
      </c>
      <c r="AP294">
        <v>-210</v>
      </c>
      <c r="AQ294">
        <v>9494</v>
      </c>
      <c r="AR294">
        <v>29885</v>
      </c>
      <c r="AS294">
        <v>12381.6920686455</v>
      </c>
      <c r="AT294">
        <v>6944</v>
      </c>
      <c r="AU294">
        <v>3052.63059713137</v>
      </c>
      <c r="AV294">
        <v>-7936.4651177209598</v>
      </c>
      <c r="AW294">
        <v>19400</v>
      </c>
      <c r="AX294">
        <v>385</v>
      </c>
      <c r="AY294">
        <v>0</v>
      </c>
      <c r="AZ294">
        <v>-1359.5535800001201</v>
      </c>
      <c r="BA294">
        <v>-2736.7393000000402</v>
      </c>
      <c r="BB294">
        <v>22440</v>
      </c>
      <c r="BC294">
        <v>8473</v>
      </c>
      <c r="BD294">
        <v>5610</v>
      </c>
      <c r="BE294">
        <f t="shared" si="8"/>
        <v>454059.58916408778</v>
      </c>
      <c r="BF294">
        <f t="shared" si="9"/>
        <v>51929433.531235136</v>
      </c>
    </row>
    <row r="295" spans="1:58" x14ac:dyDescent="0.2">
      <c r="A295" s="1">
        <v>45597</v>
      </c>
      <c r="B295">
        <v>1716</v>
      </c>
      <c r="C295">
        <v>-10783.819184849101</v>
      </c>
      <c r="D295">
        <v>4014.7126577327799</v>
      </c>
      <c r="E295">
        <v>-390.47910279280899</v>
      </c>
      <c r="F295">
        <v>-8726.0493141317093</v>
      </c>
      <c r="G295">
        <v>6318.9999999999</v>
      </c>
      <c r="H295">
        <v>-4443.4402517816397</v>
      </c>
      <c r="I295">
        <v>3413.3359756999998</v>
      </c>
      <c r="J295">
        <v>-324</v>
      </c>
      <c r="K295">
        <v>-2262</v>
      </c>
      <c r="L295">
        <v>-8998.8639960426808</v>
      </c>
      <c r="M295">
        <v>12124.380878984701</v>
      </c>
      <c r="N295">
        <v>-3454.6559671704499</v>
      </c>
      <c r="O295">
        <v>-2469.99999999998</v>
      </c>
      <c r="P295">
        <v>1185</v>
      </c>
      <c r="Q295">
        <v>-8040.2655877122897</v>
      </c>
      <c r="R295">
        <v>-571.48497637349999</v>
      </c>
      <c r="S295">
        <v>8619</v>
      </c>
      <c r="T295">
        <v>854</v>
      </c>
      <c r="U295">
        <v>-6764</v>
      </c>
      <c r="V295">
        <v>-9900</v>
      </c>
      <c r="W295">
        <v>-4690</v>
      </c>
      <c r="X295">
        <v>-9460</v>
      </c>
      <c r="Y295">
        <v>-9072</v>
      </c>
      <c r="Z295">
        <v>-4788</v>
      </c>
      <c r="AA295">
        <v>-10608</v>
      </c>
      <c r="AC295">
        <v>-8092</v>
      </c>
      <c r="AD295">
        <v>-3255.47037730381</v>
      </c>
      <c r="AE295">
        <v>-6800</v>
      </c>
      <c r="AF295">
        <v>13448</v>
      </c>
      <c r="AG295">
        <v>0</v>
      </c>
      <c r="AH295">
        <v>-7326</v>
      </c>
      <c r="AI295">
        <v>-9237.0112198315492</v>
      </c>
      <c r="AJ295">
        <v>-229.405066851372</v>
      </c>
      <c r="AK295">
        <v>-4658.5439999999999</v>
      </c>
      <c r="AL295">
        <v>-10627.63491895</v>
      </c>
      <c r="AM295">
        <v>2926</v>
      </c>
      <c r="AN295">
        <v>962</v>
      </c>
      <c r="AP295">
        <v>273</v>
      </c>
      <c r="AQ295">
        <v>19089</v>
      </c>
      <c r="AR295">
        <v>-6880</v>
      </c>
      <c r="AS295">
        <v>-20226.4525687491</v>
      </c>
      <c r="AT295">
        <v>-472.354033693112</v>
      </c>
      <c r="AU295">
        <v>-269.47761147451598</v>
      </c>
      <c r="AV295">
        <v>12210</v>
      </c>
      <c r="AW295">
        <v>6305</v>
      </c>
      <c r="AX295">
        <v>6160</v>
      </c>
      <c r="AY295">
        <v>0</v>
      </c>
      <c r="AZ295">
        <v>6280.6250099999897</v>
      </c>
      <c r="BA295">
        <v>15830.4</v>
      </c>
      <c r="BB295">
        <v>-924</v>
      </c>
      <c r="BC295">
        <v>916</v>
      </c>
      <c r="BD295">
        <v>547.30768509066604</v>
      </c>
      <c r="BE295">
        <f t="shared" si="8"/>
        <v>-61552.64597019957</v>
      </c>
      <c r="BF295">
        <f t="shared" si="9"/>
        <v>51867880.885264933</v>
      </c>
    </row>
    <row r="296" spans="1:58" x14ac:dyDescent="0.2">
      <c r="A296" s="1">
        <v>45600</v>
      </c>
      <c r="B296">
        <v>0</v>
      </c>
      <c r="C296">
        <v>0</v>
      </c>
      <c r="D296">
        <v>0</v>
      </c>
      <c r="E296">
        <v>-83.829582753944194</v>
      </c>
      <c r="F296">
        <v>0</v>
      </c>
      <c r="G296">
        <v>-2.4519369142866898</v>
      </c>
      <c r="H296">
        <v>-273.79386554458699</v>
      </c>
      <c r="I296">
        <v>-16.663055380861699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-27.195428193118101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-7.3474994323857903</v>
      </c>
      <c r="AJ296">
        <v>-16.324883262550699</v>
      </c>
      <c r="AK296">
        <v>0</v>
      </c>
      <c r="AL296">
        <v>-135.672350002629</v>
      </c>
      <c r="AM296">
        <v>-17.234039169514102</v>
      </c>
      <c r="AN296">
        <v>0</v>
      </c>
      <c r="AP296">
        <v>0</v>
      </c>
      <c r="AQ296">
        <v>0</v>
      </c>
      <c r="AR296">
        <v>0</v>
      </c>
      <c r="AS296">
        <v>0</v>
      </c>
      <c r="AT296">
        <v>-47.7981721275345</v>
      </c>
      <c r="AU296">
        <v>-121.257346462778</v>
      </c>
      <c r="AV296">
        <v>0</v>
      </c>
      <c r="AW296">
        <v>0</v>
      </c>
      <c r="AX296">
        <v>0</v>
      </c>
      <c r="AY296">
        <v>0</v>
      </c>
      <c r="AZ296">
        <v>-281.114294729383</v>
      </c>
      <c r="BA296">
        <v>0</v>
      </c>
      <c r="BB296">
        <v>0</v>
      </c>
      <c r="BC296">
        <v>0</v>
      </c>
      <c r="BD296">
        <v>-7.9496589299474696</v>
      </c>
      <c r="BE296">
        <f t="shared" si="8"/>
        <v>-1038.63211290352</v>
      </c>
      <c r="BF296">
        <f t="shared" si="9"/>
        <v>51866842.253152028</v>
      </c>
    </row>
    <row r="297" spans="1:58" x14ac:dyDescent="0.2">
      <c r="A297" s="1">
        <v>45601</v>
      </c>
      <c r="B297">
        <v>-1155</v>
      </c>
      <c r="C297">
        <v>-2720</v>
      </c>
      <c r="D297">
        <v>4985.5614375518098</v>
      </c>
      <c r="E297">
        <v>-948</v>
      </c>
      <c r="F297">
        <v>-5445</v>
      </c>
      <c r="G297">
        <v>5984.7724865670298</v>
      </c>
      <c r="H297">
        <v>15208.6832222257</v>
      </c>
      <c r="I297">
        <v>11952</v>
      </c>
      <c r="J297">
        <v>-540</v>
      </c>
      <c r="K297">
        <v>117</v>
      </c>
      <c r="L297">
        <v>-1804</v>
      </c>
      <c r="M297">
        <v>1523.5070425892</v>
      </c>
      <c r="N297">
        <v>614.56437000006201</v>
      </c>
      <c r="O297">
        <v>0</v>
      </c>
      <c r="P297">
        <v>-3397</v>
      </c>
      <c r="Q297">
        <v>-3240</v>
      </c>
      <c r="R297">
        <v>-808</v>
      </c>
      <c r="S297">
        <v>3042</v>
      </c>
      <c r="T297">
        <v>-13146</v>
      </c>
      <c r="U297">
        <v>3040</v>
      </c>
      <c r="V297">
        <v>-7350</v>
      </c>
      <c r="W297">
        <v>-2870</v>
      </c>
      <c r="X297">
        <v>-1140</v>
      </c>
      <c r="Y297">
        <v>2124</v>
      </c>
      <c r="Z297">
        <v>855</v>
      </c>
      <c r="AA297">
        <v>-8095.99999999991</v>
      </c>
      <c r="AC297">
        <v>-3780</v>
      </c>
      <c r="AD297">
        <v>-5208</v>
      </c>
      <c r="AE297">
        <v>-4284</v>
      </c>
      <c r="AF297">
        <v>-5412</v>
      </c>
      <c r="AG297">
        <v>0</v>
      </c>
      <c r="AH297">
        <v>-5544</v>
      </c>
      <c r="AI297">
        <v>1529.1274367577801</v>
      </c>
      <c r="AJ297">
        <v>-10215</v>
      </c>
      <c r="AK297">
        <v>-4292.1956</v>
      </c>
      <c r="AL297">
        <v>589.48208804752198</v>
      </c>
      <c r="AM297">
        <v>-4992</v>
      </c>
      <c r="AN297">
        <v>-1369</v>
      </c>
      <c r="AP297">
        <v>0</v>
      </c>
      <c r="AQ297">
        <v>-11716</v>
      </c>
      <c r="AR297">
        <v>-2580</v>
      </c>
      <c r="AS297">
        <v>-14508</v>
      </c>
      <c r="AT297">
        <v>-4068</v>
      </c>
      <c r="AU297">
        <v>-5358</v>
      </c>
      <c r="AV297">
        <v>-9042</v>
      </c>
      <c r="AW297">
        <v>-24735</v>
      </c>
      <c r="AX297">
        <v>2695.4059862662202</v>
      </c>
      <c r="AY297">
        <v>0</v>
      </c>
      <c r="AZ297">
        <v>-9305.45315999987</v>
      </c>
      <c r="BA297">
        <v>-7292.2494000000897</v>
      </c>
      <c r="BB297">
        <v>-2640</v>
      </c>
      <c r="BC297">
        <v>687</v>
      </c>
      <c r="BD297">
        <v>2124</v>
      </c>
      <c r="BE297">
        <f t="shared" si="8"/>
        <v>-131927.79408999454</v>
      </c>
      <c r="BF297">
        <f t="shared" si="9"/>
        <v>51734914.459062032</v>
      </c>
    </row>
    <row r="298" spans="1:58" x14ac:dyDescent="0.2">
      <c r="A298" s="1">
        <v>45602</v>
      </c>
      <c r="B298">
        <v>-16632</v>
      </c>
      <c r="C298">
        <v>-18360</v>
      </c>
      <c r="D298">
        <v>-3920</v>
      </c>
      <c r="E298">
        <v>-3623.6446387916899</v>
      </c>
      <c r="F298">
        <v>-13860</v>
      </c>
      <c r="G298">
        <v>-5632.5552190660601</v>
      </c>
      <c r="H298">
        <v>-12653.259346000001</v>
      </c>
      <c r="I298">
        <v>-15268.732804933699</v>
      </c>
      <c r="J298">
        <v>-7128</v>
      </c>
      <c r="K298">
        <v>-2418</v>
      </c>
      <c r="L298">
        <v>-6534</v>
      </c>
      <c r="M298">
        <v>-34366.636161754897</v>
      </c>
      <c r="N298">
        <v>-47224.900620956301</v>
      </c>
      <c r="O298">
        <v>13395</v>
      </c>
      <c r="P298">
        <v>-2054</v>
      </c>
      <c r="Q298">
        <v>709.74318922995997</v>
      </c>
      <c r="R298">
        <v>-3640.94817366404</v>
      </c>
      <c r="S298">
        <v>-6591</v>
      </c>
      <c r="T298">
        <v>-14210</v>
      </c>
      <c r="U298">
        <v>-10184</v>
      </c>
      <c r="V298">
        <v>-12225</v>
      </c>
      <c r="W298">
        <v>-18305</v>
      </c>
      <c r="X298">
        <v>-3000</v>
      </c>
      <c r="Y298">
        <v>-14688</v>
      </c>
      <c r="Z298">
        <v>-2907</v>
      </c>
      <c r="AA298">
        <v>-12640</v>
      </c>
      <c r="AC298">
        <v>-17934</v>
      </c>
      <c r="AD298">
        <v>-8960</v>
      </c>
      <c r="AE298">
        <v>-8772</v>
      </c>
      <c r="AF298">
        <v>7954</v>
      </c>
      <c r="AG298">
        <v>-169.97604450153699</v>
      </c>
      <c r="AH298">
        <v>23760</v>
      </c>
      <c r="AI298">
        <v>-26969.958264777</v>
      </c>
      <c r="AJ298">
        <v>-2497</v>
      </c>
      <c r="AK298">
        <v>-7413.7923999999903</v>
      </c>
      <c r="AL298">
        <v>-1614.22919388431</v>
      </c>
      <c r="AM298">
        <v>-14430</v>
      </c>
      <c r="AN298">
        <v>-13695.3275252946</v>
      </c>
      <c r="AP298">
        <v>51</v>
      </c>
      <c r="AQ298">
        <v>7777</v>
      </c>
      <c r="AR298">
        <v>6020</v>
      </c>
      <c r="AS298">
        <v>-16198.4597438173</v>
      </c>
      <c r="AT298">
        <v>-6328</v>
      </c>
      <c r="AU298">
        <v>-5264</v>
      </c>
      <c r="AV298">
        <v>0</v>
      </c>
      <c r="AW298">
        <v>970</v>
      </c>
      <c r="AX298">
        <v>4704</v>
      </c>
      <c r="AY298">
        <v>6238.6572600003301</v>
      </c>
      <c r="AZ298">
        <v>17262.289919999799</v>
      </c>
      <c r="BA298">
        <v>15863.8408000001</v>
      </c>
      <c r="BB298">
        <v>-3696</v>
      </c>
      <c r="BC298">
        <v>-687</v>
      </c>
      <c r="BD298">
        <v>-1480.17029624047</v>
      </c>
      <c r="BE298">
        <f t="shared" si="8"/>
        <v>-319471.05926445161</v>
      </c>
      <c r="BF298">
        <f t="shared" si="9"/>
        <v>51415443.399797581</v>
      </c>
    </row>
    <row r="299" spans="1:58" x14ac:dyDescent="0.2">
      <c r="A299" s="1">
        <v>45603</v>
      </c>
      <c r="B299">
        <v>-7953</v>
      </c>
      <c r="C299">
        <v>-7468.4974054862596</v>
      </c>
      <c r="D299">
        <v>8820</v>
      </c>
      <c r="E299">
        <v>704</v>
      </c>
      <c r="F299">
        <v>3502.3402757427798</v>
      </c>
      <c r="G299">
        <v>5832.00000000007</v>
      </c>
      <c r="H299">
        <v>24811.157700028401</v>
      </c>
      <c r="I299">
        <v>6929</v>
      </c>
      <c r="J299">
        <v>-1134</v>
      </c>
      <c r="K299">
        <v>-1131</v>
      </c>
      <c r="L299">
        <v>-3699.96622509909</v>
      </c>
      <c r="M299">
        <v>7307.0632058781503</v>
      </c>
      <c r="N299">
        <v>10586.927199399101</v>
      </c>
      <c r="O299">
        <v>-1805.00000000001</v>
      </c>
      <c r="P299">
        <v>948</v>
      </c>
      <c r="Q299">
        <v>1980</v>
      </c>
      <c r="R299">
        <v>-2040</v>
      </c>
      <c r="S299">
        <v>2028</v>
      </c>
      <c r="T299">
        <v>5236</v>
      </c>
      <c r="U299">
        <v>-5776</v>
      </c>
      <c r="V299">
        <v>-9600</v>
      </c>
      <c r="W299">
        <v>-9030</v>
      </c>
      <c r="X299">
        <v>940</v>
      </c>
      <c r="Y299">
        <v>-1224</v>
      </c>
      <c r="Z299">
        <v>1368</v>
      </c>
      <c r="AA299">
        <v>-10176</v>
      </c>
      <c r="AC299">
        <v>-3759</v>
      </c>
      <c r="AD299">
        <v>-2159.41416221092</v>
      </c>
      <c r="AE299">
        <v>9996</v>
      </c>
      <c r="AF299">
        <v>6150</v>
      </c>
      <c r="AG299">
        <v>1508</v>
      </c>
      <c r="AH299">
        <v>10692</v>
      </c>
      <c r="AI299">
        <v>-45511.383616165404</v>
      </c>
      <c r="AJ299">
        <v>4994</v>
      </c>
      <c r="AK299">
        <v>-9826.1612239555106</v>
      </c>
      <c r="AL299">
        <v>-6105.6125598396602</v>
      </c>
      <c r="AM299">
        <v>-15717</v>
      </c>
      <c r="AN299">
        <v>-18734</v>
      </c>
      <c r="AP299">
        <v>21</v>
      </c>
      <c r="AQ299">
        <v>-10201</v>
      </c>
      <c r="AR299">
        <v>23865</v>
      </c>
      <c r="AS299">
        <v>1269.3027790316501</v>
      </c>
      <c r="AT299">
        <v>5424</v>
      </c>
      <c r="AU299">
        <v>-11294.6219366968</v>
      </c>
      <c r="AV299">
        <v>13530</v>
      </c>
      <c r="AW299">
        <v>-3880</v>
      </c>
      <c r="AX299">
        <v>-2206.5611326596299</v>
      </c>
      <c r="AY299">
        <v>-10247.4173999999</v>
      </c>
      <c r="AZ299">
        <v>2028.85386924145</v>
      </c>
      <c r="BA299">
        <v>-7382.1953961873596</v>
      </c>
      <c r="BB299">
        <v>-5016</v>
      </c>
      <c r="BC299">
        <v>-2290</v>
      </c>
      <c r="BD299">
        <v>-5739.3003459300398</v>
      </c>
      <c r="BE299">
        <f t="shared" si="8"/>
        <v>-60636.486374908978</v>
      </c>
      <c r="BF299">
        <f t="shared" si="9"/>
        <v>51354806.913422674</v>
      </c>
    </row>
    <row r="300" spans="1:58" x14ac:dyDescent="0.2">
      <c r="A300" s="1">
        <v>45604</v>
      </c>
      <c r="B300">
        <v>-17226</v>
      </c>
      <c r="C300">
        <v>-5065.4290767307202</v>
      </c>
      <c r="D300">
        <v>-2940</v>
      </c>
      <c r="E300">
        <v>-2112</v>
      </c>
      <c r="F300">
        <v>-12754.5086430355</v>
      </c>
      <c r="G300">
        <v>-4940.99999999999</v>
      </c>
      <c r="H300">
        <v>-13255.85844</v>
      </c>
      <c r="I300">
        <v>-4277</v>
      </c>
      <c r="J300">
        <v>-13770</v>
      </c>
      <c r="K300">
        <v>-13676.7376702293</v>
      </c>
      <c r="L300">
        <v>-3090.9703356833002</v>
      </c>
      <c r="M300">
        <v>1762.928957313</v>
      </c>
      <c r="N300">
        <v>-1572.56625776633</v>
      </c>
      <c r="O300">
        <v>759.99999999991599</v>
      </c>
      <c r="P300">
        <v>-5767</v>
      </c>
      <c r="Q300">
        <v>-330</v>
      </c>
      <c r="R300">
        <v>-4896</v>
      </c>
      <c r="S300">
        <v>-6084</v>
      </c>
      <c r="T300">
        <v>-11172</v>
      </c>
      <c r="U300">
        <v>-4036.15406073038</v>
      </c>
      <c r="V300">
        <v>-11625</v>
      </c>
      <c r="W300">
        <v>-37503.152159287398</v>
      </c>
      <c r="X300">
        <v>-1920</v>
      </c>
      <c r="Y300">
        <v>-16344</v>
      </c>
      <c r="Z300">
        <v>-4959</v>
      </c>
      <c r="AA300">
        <v>-12484.1109595449</v>
      </c>
      <c r="AC300">
        <v>-21714</v>
      </c>
      <c r="AD300">
        <v>-4133.3579663555101</v>
      </c>
      <c r="AE300">
        <v>-13668</v>
      </c>
      <c r="AF300">
        <v>-4018</v>
      </c>
      <c r="AG300">
        <v>-2608</v>
      </c>
      <c r="AH300">
        <v>4950</v>
      </c>
      <c r="AI300">
        <v>-897.72577641837995</v>
      </c>
      <c r="AJ300">
        <v>-8412.9081331260095</v>
      </c>
      <c r="AK300">
        <v>-8860.7518124078106</v>
      </c>
      <c r="AL300">
        <v>-1309.0091010912099</v>
      </c>
      <c r="AM300">
        <v>-19673.4328875479</v>
      </c>
      <c r="AN300">
        <v>-16426.7474918878</v>
      </c>
      <c r="AP300">
        <v>75</v>
      </c>
      <c r="AQ300">
        <v>-12120</v>
      </c>
      <c r="AR300">
        <v>-645</v>
      </c>
      <c r="AS300">
        <v>-12369</v>
      </c>
      <c r="AT300">
        <v>-8588</v>
      </c>
      <c r="AU300">
        <v>-393.07509486800802</v>
      </c>
      <c r="AV300">
        <v>-9088.4554290882006</v>
      </c>
      <c r="AW300">
        <v>-10185</v>
      </c>
      <c r="AX300">
        <v>312</v>
      </c>
      <c r="AY300">
        <v>-621.67427939653203</v>
      </c>
      <c r="AZ300">
        <v>-10952.763508685</v>
      </c>
      <c r="BA300">
        <v>-4039.7609999999499</v>
      </c>
      <c r="BB300">
        <v>-12276</v>
      </c>
      <c r="BC300">
        <v>-3893</v>
      </c>
      <c r="BD300">
        <v>-2583</v>
      </c>
      <c r="BE300">
        <f t="shared" si="8"/>
        <v>-393419.22112656722</v>
      </c>
      <c r="BF300">
        <f t="shared" si="9"/>
        <v>50961387.69229611</v>
      </c>
    </row>
    <row r="301" spans="1:58" x14ac:dyDescent="0.2">
      <c r="A301" s="1">
        <v>45607</v>
      </c>
      <c r="B301">
        <v>-31736.8523225967</v>
      </c>
      <c r="C301">
        <v>-5208.3712435203797</v>
      </c>
      <c r="D301">
        <v>-13720</v>
      </c>
      <c r="E301">
        <v>-11704</v>
      </c>
      <c r="F301">
        <v>-11827.209697512</v>
      </c>
      <c r="G301">
        <v>-4697.99999999998</v>
      </c>
      <c r="H301">
        <v>14644.6641719405</v>
      </c>
      <c r="I301">
        <v>-11648</v>
      </c>
      <c r="J301">
        <v>-11397.627419347</v>
      </c>
      <c r="K301">
        <v>-3267.84103025067</v>
      </c>
      <c r="L301">
        <v>-5927.9691583815502</v>
      </c>
      <c r="M301">
        <v>-23471.2978441179</v>
      </c>
      <c r="N301">
        <v>-14361.9578</v>
      </c>
      <c r="O301">
        <v>-241.01335252361699</v>
      </c>
      <c r="P301">
        <v>-7979</v>
      </c>
      <c r="Q301">
        <v>-1540</v>
      </c>
      <c r="R301">
        <v>-12036</v>
      </c>
      <c r="S301">
        <v>-8112</v>
      </c>
      <c r="T301">
        <v>-12974.1265844805</v>
      </c>
      <c r="U301">
        <v>-8478.9028277660891</v>
      </c>
      <c r="V301">
        <v>-18375</v>
      </c>
      <c r="W301">
        <v>-26740.684074603199</v>
      </c>
      <c r="X301">
        <v>-10300</v>
      </c>
      <c r="Y301">
        <v>-30758.7952370639</v>
      </c>
      <c r="Z301">
        <v>-9747</v>
      </c>
      <c r="AA301">
        <v>-18999.924282880002</v>
      </c>
      <c r="AC301">
        <v>-7266.4495162745297</v>
      </c>
      <c r="AD301">
        <v>-6799.4280768183799</v>
      </c>
      <c r="AE301">
        <v>-4177.7880328765204</v>
      </c>
      <c r="AF301">
        <v>-20910</v>
      </c>
      <c r="AG301">
        <v>-5139.6513400457798</v>
      </c>
      <c r="AH301">
        <v>-6138</v>
      </c>
      <c r="AI301">
        <v>-2610.9067044988101</v>
      </c>
      <c r="AJ301">
        <v>-1165</v>
      </c>
      <c r="AK301">
        <v>-13374.8875007284</v>
      </c>
      <c r="AL301">
        <v>-1249.23218476083</v>
      </c>
      <c r="AM301">
        <v>-29803.805769815401</v>
      </c>
      <c r="AN301">
        <v>-27597.6722423787</v>
      </c>
      <c r="AP301">
        <v>-69</v>
      </c>
      <c r="AQ301">
        <v>-8888</v>
      </c>
      <c r="AR301">
        <v>-14190</v>
      </c>
      <c r="AS301">
        <v>-3538.9668755521602</v>
      </c>
      <c r="AT301">
        <v>-23052</v>
      </c>
      <c r="AU301">
        <v>-219.495298679179</v>
      </c>
      <c r="AV301">
        <v>8568</v>
      </c>
      <c r="AW301">
        <v>-25793.303862536799</v>
      </c>
      <c r="AX301">
        <v>1237.4689675259899</v>
      </c>
      <c r="AY301">
        <v>0</v>
      </c>
      <c r="AZ301">
        <v>18852.9768</v>
      </c>
      <c r="BA301">
        <v>-2318.8730399998799</v>
      </c>
      <c r="BB301">
        <v>-21258.244552309101</v>
      </c>
      <c r="BC301">
        <v>-22213</v>
      </c>
      <c r="BD301">
        <v>-4929.9678475950504</v>
      </c>
      <c r="BE301">
        <f t="shared" si="8"/>
        <v>-524652.13578044646</v>
      </c>
      <c r="BF301">
        <f t="shared" si="9"/>
        <v>50436735.556515664</v>
      </c>
    </row>
    <row r="302" spans="1:58" x14ac:dyDescent="0.2">
      <c r="A302" s="1">
        <v>45608</v>
      </c>
      <c r="B302">
        <v>11942.0625256285</v>
      </c>
      <c r="C302">
        <v>4062.62007643378</v>
      </c>
      <c r="D302">
        <v>-97.633401919868703</v>
      </c>
      <c r="E302">
        <v>7495.3089771701198</v>
      </c>
      <c r="F302">
        <v>-4763.47031545563</v>
      </c>
      <c r="G302">
        <v>809.99999999998204</v>
      </c>
      <c r="H302">
        <v>-20879.297999999999</v>
      </c>
      <c r="I302">
        <v>-1797.7099089815199</v>
      </c>
      <c r="J302">
        <v>2681.2406441800799</v>
      </c>
      <c r="K302">
        <v>120.45799359579701</v>
      </c>
      <c r="L302">
        <v>5100.0176030354196</v>
      </c>
      <c r="M302">
        <v>-3343.30210737773</v>
      </c>
      <c r="N302">
        <v>-3409.15621330666</v>
      </c>
      <c r="O302">
        <v>-6759.99999999994</v>
      </c>
      <c r="P302">
        <v>2054</v>
      </c>
      <c r="Q302">
        <v>2970</v>
      </c>
      <c r="R302">
        <v>4838.6971222745697</v>
      </c>
      <c r="S302">
        <v>507</v>
      </c>
      <c r="T302">
        <v>11221.631655812</v>
      </c>
      <c r="U302">
        <v>1769.47080239257</v>
      </c>
      <c r="V302">
        <v>13312.5667877787</v>
      </c>
      <c r="W302">
        <v>12205.4310920928</v>
      </c>
      <c r="X302">
        <v>4311.1644938285999</v>
      </c>
      <c r="Y302">
        <v>13499.250290882201</v>
      </c>
      <c r="Z302">
        <v>3385.7412874277802</v>
      </c>
      <c r="AA302">
        <v>12285.2248325032</v>
      </c>
      <c r="AC302">
        <v>3926.59582462559</v>
      </c>
      <c r="AD302">
        <v>1422.1438099325201</v>
      </c>
      <c r="AE302">
        <v>1909.09161473271</v>
      </c>
      <c r="AF302">
        <v>-13954.0691002193</v>
      </c>
      <c r="AG302">
        <v>0</v>
      </c>
      <c r="AH302">
        <v>2376</v>
      </c>
      <c r="AI302">
        <v>-9076.4844261002308</v>
      </c>
      <c r="AJ302">
        <v>1864</v>
      </c>
      <c r="AK302">
        <v>11087.209688703801</v>
      </c>
      <c r="AL302">
        <v>304.55310683909403</v>
      </c>
      <c r="AM302">
        <v>16325.826259084201</v>
      </c>
      <c r="AN302">
        <v>15449.909885401899</v>
      </c>
      <c r="AP302">
        <v>-306</v>
      </c>
      <c r="AQ302">
        <v>3023.1111182178101</v>
      </c>
      <c r="AR302">
        <v>-4945</v>
      </c>
      <c r="AS302">
        <v>3260.51378777937</v>
      </c>
      <c r="AT302">
        <v>-7707.3557470419601</v>
      </c>
      <c r="AU302">
        <v>-48.508124583488403</v>
      </c>
      <c r="AV302">
        <v>-8976</v>
      </c>
      <c r="AW302">
        <v>14080.896524161901</v>
      </c>
      <c r="AX302">
        <v>2814</v>
      </c>
      <c r="AY302">
        <v>0</v>
      </c>
      <c r="AZ302">
        <v>0</v>
      </c>
      <c r="BA302">
        <v>16091.5735199999</v>
      </c>
      <c r="BB302">
        <v>13058.0920844668</v>
      </c>
      <c r="BC302">
        <v>8679.3996377709609</v>
      </c>
      <c r="BD302">
        <v>6758.54495427232</v>
      </c>
      <c r="BE302">
        <f t="shared" si="8"/>
        <v>150939.36065603865</v>
      </c>
      <c r="BF302">
        <f t="shared" si="9"/>
        <v>50587674.917171702</v>
      </c>
    </row>
    <row r="303" spans="1:58" x14ac:dyDescent="0.2">
      <c r="A303" s="1">
        <v>45609</v>
      </c>
      <c r="B303">
        <v>-10690.547598474301</v>
      </c>
      <c r="C303">
        <v>-478.65870496863698</v>
      </c>
      <c r="D303">
        <v>2700.1493947111699</v>
      </c>
      <c r="E303">
        <v>-4422</v>
      </c>
      <c r="F303">
        <v>-190.63299885854499</v>
      </c>
      <c r="G303">
        <v>8099.99999999997</v>
      </c>
      <c r="H303">
        <v>-9697.8423357597603</v>
      </c>
      <c r="I303">
        <v>1651.2900199554799</v>
      </c>
      <c r="J303">
        <v>-12220</v>
      </c>
      <c r="K303">
        <v>289.22223574668402</v>
      </c>
      <c r="L303">
        <v>-105</v>
      </c>
      <c r="M303">
        <v>-296.74469118921098</v>
      </c>
      <c r="N303">
        <v>0</v>
      </c>
      <c r="O303">
        <v>0</v>
      </c>
      <c r="P303">
        <v>-4661</v>
      </c>
      <c r="Q303">
        <v>550</v>
      </c>
      <c r="R303">
        <v>-1998.4777491202699</v>
      </c>
      <c r="S303">
        <v>-3042</v>
      </c>
      <c r="T303">
        <v>-3350</v>
      </c>
      <c r="U303">
        <v>-1025.45154245961</v>
      </c>
      <c r="V303">
        <v>-1700</v>
      </c>
      <c r="W303">
        <v>-494.39357958077898</v>
      </c>
      <c r="X303">
        <v>1105.72520575874</v>
      </c>
      <c r="Y303">
        <v>-3939.8376669476702</v>
      </c>
      <c r="Z303">
        <v>150.584174760471</v>
      </c>
      <c r="AA303">
        <v>-2127.5</v>
      </c>
      <c r="AC303">
        <v>4315</v>
      </c>
      <c r="AD303">
        <v>1656.05149008935</v>
      </c>
      <c r="AE303">
        <v>2688.0148237707499</v>
      </c>
      <c r="AF303">
        <v>2249.1058430236299</v>
      </c>
      <c r="AG303">
        <v>-171.44518929818301</v>
      </c>
      <c r="AH303">
        <v>5148</v>
      </c>
      <c r="AI303">
        <v>-11035.546676018899</v>
      </c>
      <c r="AJ303">
        <v>4660</v>
      </c>
      <c r="AK303">
        <v>-808.12874999999997</v>
      </c>
      <c r="AL303">
        <v>819</v>
      </c>
      <c r="AM303">
        <v>-7185.3496681773504</v>
      </c>
      <c r="AN303">
        <v>-7110.90073620766</v>
      </c>
      <c r="AP303">
        <v>9</v>
      </c>
      <c r="AQ303">
        <v>6534</v>
      </c>
      <c r="AR303">
        <v>-4953.2333243042503</v>
      </c>
      <c r="AS303">
        <v>-10080</v>
      </c>
      <c r="AT303">
        <v>-1982.79989104733</v>
      </c>
      <c r="AU303">
        <v>-319.29455059519</v>
      </c>
      <c r="AV303">
        <v>5168</v>
      </c>
      <c r="AW303">
        <v>-4442.5161524260502</v>
      </c>
      <c r="AX303">
        <v>3167.4865104567398</v>
      </c>
      <c r="AY303">
        <v>20070.015248881598</v>
      </c>
      <c r="AZ303">
        <v>3903.47999999991</v>
      </c>
      <c r="BA303">
        <v>70.379209999935995</v>
      </c>
      <c r="BB303">
        <v>-7068.2616451468002</v>
      </c>
      <c r="BC303">
        <v>2222.4697207773502</v>
      </c>
      <c r="BD303">
        <v>2880</v>
      </c>
      <c r="BE303">
        <f t="shared" si="8"/>
        <v>-35490.589572648729</v>
      </c>
      <c r="BF303">
        <f t="shared" si="9"/>
        <v>50552184.327599056</v>
      </c>
    </row>
    <row r="304" spans="1:58" x14ac:dyDescent="0.2">
      <c r="A304" s="1">
        <v>45610</v>
      </c>
      <c r="B304">
        <v>14949.0503902908</v>
      </c>
      <c r="C304">
        <v>7821.94741864363</v>
      </c>
      <c r="D304">
        <v>11129.8054664592</v>
      </c>
      <c r="E304">
        <v>2671.75553201927</v>
      </c>
      <c r="F304">
        <v>-272.97635523321497</v>
      </c>
      <c r="G304">
        <v>7891.6525585463596</v>
      </c>
      <c r="H304">
        <v>11525.5738671033</v>
      </c>
      <c r="I304">
        <v>7121.0602130051502</v>
      </c>
      <c r="J304">
        <v>7183.6570267777797</v>
      </c>
      <c r="K304">
        <v>2462.5311605684101</v>
      </c>
      <c r="L304">
        <v>6999.4224937102799</v>
      </c>
      <c r="M304">
        <v>-1353.8042251678</v>
      </c>
      <c r="N304">
        <v>-210.83649332626501</v>
      </c>
      <c r="O304">
        <v>19414.9041732568</v>
      </c>
      <c r="P304">
        <v>12386.4907690404</v>
      </c>
      <c r="Q304">
        <v>1096.3625110922701</v>
      </c>
      <c r="R304">
        <v>9861.6554420045595</v>
      </c>
      <c r="S304">
        <v>6844.8133374278896</v>
      </c>
      <c r="T304">
        <v>13897.7106221058</v>
      </c>
      <c r="U304">
        <v>7987.8105726555204</v>
      </c>
      <c r="V304">
        <v>14135.8111331854</v>
      </c>
      <c r="W304">
        <v>8220.8479430179395</v>
      </c>
      <c r="X304">
        <v>4306.9025222186401</v>
      </c>
      <c r="Y304">
        <v>16199.784375523301</v>
      </c>
      <c r="Z304">
        <v>4438.08450801867</v>
      </c>
      <c r="AA304">
        <v>16670.6263546142</v>
      </c>
      <c r="AC304">
        <v>19215.068698988402</v>
      </c>
      <c r="AD304">
        <v>7222.2505345132404</v>
      </c>
      <c r="AE304">
        <v>673.13246601673495</v>
      </c>
      <c r="AF304">
        <v>23760.944508889701</v>
      </c>
      <c r="AG304">
        <v>1773.8811115057599</v>
      </c>
      <c r="AH304">
        <v>17925.325198943301</v>
      </c>
      <c r="AI304">
        <v>-524.879488089608</v>
      </c>
      <c r="AJ304">
        <v>10820.6865860814</v>
      </c>
      <c r="AK304">
        <v>16050.4895675759</v>
      </c>
      <c r="AL304">
        <v>-1396.28377652074</v>
      </c>
      <c r="AM304">
        <v>21838.153866705899</v>
      </c>
      <c r="AN304">
        <v>21727.041931807202</v>
      </c>
      <c r="AP304">
        <v>-43.845348821318098</v>
      </c>
      <c r="AQ304">
        <v>13814.7826795323</v>
      </c>
      <c r="AR304">
        <v>9387.1830638045594</v>
      </c>
      <c r="AS304">
        <v>1915.13595139624</v>
      </c>
      <c r="AT304">
        <v>8382.8262189440593</v>
      </c>
      <c r="AU304">
        <v>-431.10828033946899</v>
      </c>
      <c r="AV304">
        <v>-5948.4769108236196</v>
      </c>
      <c r="AW304">
        <v>10973.615756873</v>
      </c>
      <c r="AX304">
        <v>12941.072310129201</v>
      </c>
      <c r="AY304">
        <v>1582.7659102233699</v>
      </c>
      <c r="AZ304">
        <v>7211.1155001885099</v>
      </c>
      <c r="BA304">
        <v>9514.3709775926709</v>
      </c>
      <c r="BB304">
        <v>14461.617151554799</v>
      </c>
      <c r="BC304">
        <v>16007.64252797</v>
      </c>
      <c r="BD304">
        <v>2292.2038006922699</v>
      </c>
      <c r="BE304">
        <f t="shared" si="8"/>
        <v>454527.35583289212</v>
      </c>
      <c r="BF304">
        <f t="shared" si="9"/>
        <v>51006711.683431946</v>
      </c>
    </row>
    <row r="305" spans="1:58" x14ac:dyDescent="0.2">
      <c r="A305" s="1">
        <v>45611</v>
      </c>
      <c r="B305">
        <v>-7480</v>
      </c>
      <c r="C305">
        <v>-9860</v>
      </c>
      <c r="D305">
        <v>-9856</v>
      </c>
      <c r="E305">
        <v>-880</v>
      </c>
      <c r="F305">
        <v>-277.45893557598203</v>
      </c>
      <c r="G305">
        <v>-4535.99999999993</v>
      </c>
      <c r="H305">
        <v>47.973446000000003</v>
      </c>
      <c r="I305">
        <v>-3542</v>
      </c>
      <c r="J305">
        <v>-7462</v>
      </c>
      <c r="K305">
        <v>-1339</v>
      </c>
      <c r="L305">
        <v>-2235</v>
      </c>
      <c r="M305">
        <v>-81.5827565168821</v>
      </c>
      <c r="N305">
        <v>983.65700000000004</v>
      </c>
      <c r="O305">
        <v>7068.5741047023002</v>
      </c>
      <c r="P305">
        <v>-4345</v>
      </c>
      <c r="Q305">
        <v>-1100</v>
      </c>
      <c r="R305">
        <v>-2535</v>
      </c>
      <c r="S305">
        <v>-505</v>
      </c>
      <c r="T305">
        <v>-5970</v>
      </c>
      <c r="U305">
        <v>-5208</v>
      </c>
      <c r="V305">
        <v>-9900</v>
      </c>
      <c r="W305">
        <v>-1050</v>
      </c>
      <c r="X305">
        <v>-2144</v>
      </c>
      <c r="Y305">
        <v>-4791.4951595212196</v>
      </c>
      <c r="Z305">
        <v>-1272</v>
      </c>
      <c r="AA305">
        <v>-11121</v>
      </c>
      <c r="AC305">
        <v>-10665</v>
      </c>
      <c r="AD305">
        <v>-629</v>
      </c>
      <c r="AE305">
        <v>-2352</v>
      </c>
      <c r="AF305">
        <v>6122.1459972680796</v>
      </c>
      <c r="AG305">
        <v>-2273</v>
      </c>
      <c r="AH305">
        <v>-1584</v>
      </c>
      <c r="AI305">
        <v>251.987536250945</v>
      </c>
      <c r="AJ305">
        <v>189.77873195158699</v>
      </c>
      <c r="AK305">
        <v>-8115.1702500000001</v>
      </c>
      <c r="AL305">
        <v>2880</v>
      </c>
      <c r="AM305">
        <v>-7806.0421404853196</v>
      </c>
      <c r="AN305">
        <v>-7441.5535168099104</v>
      </c>
      <c r="AP305">
        <v>132</v>
      </c>
      <c r="AQ305">
        <v>-3762</v>
      </c>
      <c r="AR305">
        <v>-7548</v>
      </c>
      <c r="AS305">
        <v>-3066.56423729995</v>
      </c>
      <c r="AT305">
        <v>3003</v>
      </c>
      <c r="AU305">
        <v>-278.191138480657</v>
      </c>
      <c r="AV305">
        <v>1428</v>
      </c>
      <c r="AW305">
        <v>-20223</v>
      </c>
      <c r="AX305">
        <v>-592</v>
      </c>
      <c r="AY305">
        <v>-414.32106163511298</v>
      </c>
      <c r="AZ305">
        <v>-156.02985999998199</v>
      </c>
      <c r="BA305">
        <v>-6282.8699591842196</v>
      </c>
      <c r="BB305">
        <v>-4656.1435755264702</v>
      </c>
      <c r="BC305">
        <v>-13481</v>
      </c>
      <c r="BD305">
        <v>-823.93076012650602</v>
      </c>
      <c r="BE305">
        <f t="shared" si="8"/>
        <v>-177533.23653498924</v>
      </c>
      <c r="BF305">
        <f t="shared" si="9"/>
        <v>50829178.446896955</v>
      </c>
    </row>
    <row r="306" spans="1:58" x14ac:dyDescent="0.2">
      <c r="A306" s="1">
        <v>45614</v>
      </c>
      <c r="B306">
        <v>1116.3064515022299</v>
      </c>
      <c r="C306">
        <v>2092.1873244148201</v>
      </c>
      <c r="D306">
        <v>-3584</v>
      </c>
      <c r="E306">
        <v>220</v>
      </c>
      <c r="F306">
        <v>94.850116134505299</v>
      </c>
      <c r="G306">
        <v>3725.99999999994</v>
      </c>
      <c r="H306">
        <v>291.75187199999999</v>
      </c>
      <c r="I306">
        <v>8481</v>
      </c>
      <c r="J306">
        <v>-219.614257453655</v>
      </c>
      <c r="K306">
        <v>1768</v>
      </c>
      <c r="L306">
        <v>4110</v>
      </c>
      <c r="M306">
        <v>694.09839531478804</v>
      </c>
      <c r="N306">
        <v>-3749.8912500000001</v>
      </c>
      <c r="O306">
        <v>4240.0283555367496</v>
      </c>
      <c r="P306">
        <v>3239</v>
      </c>
      <c r="Q306">
        <v>550</v>
      </c>
      <c r="R306">
        <v>-2028</v>
      </c>
      <c r="S306">
        <v>-2020</v>
      </c>
      <c r="T306">
        <v>1590</v>
      </c>
      <c r="U306">
        <v>7389.2643313040899</v>
      </c>
      <c r="V306">
        <v>6300</v>
      </c>
      <c r="W306">
        <v>3555</v>
      </c>
      <c r="X306">
        <v>1328</v>
      </c>
      <c r="Y306">
        <v>-44</v>
      </c>
      <c r="Z306">
        <v>-636</v>
      </c>
      <c r="AA306">
        <v>7002.7741585751401</v>
      </c>
      <c r="AC306">
        <v>8245</v>
      </c>
      <c r="AD306">
        <v>3182</v>
      </c>
      <c r="AE306">
        <v>-4368</v>
      </c>
      <c r="AF306">
        <v>-11830</v>
      </c>
      <c r="AG306">
        <v>-1501</v>
      </c>
      <c r="AH306">
        <v>2772</v>
      </c>
      <c r="AI306">
        <v>7434.0206084148203</v>
      </c>
      <c r="AJ306">
        <v>9528.3383462822494</v>
      </c>
      <c r="AK306">
        <v>6874.8006249999999</v>
      </c>
      <c r="AL306">
        <v>16</v>
      </c>
      <c r="AM306">
        <v>5712</v>
      </c>
      <c r="AN306">
        <v>5124</v>
      </c>
      <c r="AP306">
        <v>324</v>
      </c>
      <c r="AQ306">
        <v>2673</v>
      </c>
      <c r="AR306">
        <v>-1022.74581640779</v>
      </c>
      <c r="AS306">
        <v>3618.4640432572501</v>
      </c>
      <c r="AT306">
        <v>0</v>
      </c>
      <c r="AU306">
        <v>-280</v>
      </c>
      <c r="AV306">
        <v>-2380</v>
      </c>
      <c r="AW306">
        <v>-18806.200848518602</v>
      </c>
      <c r="AX306">
        <v>6853.4523661851199</v>
      </c>
      <c r="AY306">
        <v>25193.532600000101</v>
      </c>
      <c r="AZ306">
        <v>-5043.7631999999603</v>
      </c>
      <c r="BA306">
        <v>-748.39517999979205</v>
      </c>
      <c r="BB306">
        <v>1470</v>
      </c>
      <c r="BC306">
        <v>11004.4421058469</v>
      </c>
      <c r="BD306">
        <v>961.16831587670504</v>
      </c>
      <c r="BE306">
        <f t="shared" si="8"/>
        <v>100512.86946326563</v>
      </c>
      <c r="BF306">
        <f t="shared" si="9"/>
        <v>50929691.31636022</v>
      </c>
    </row>
    <row r="307" spans="1:58" x14ac:dyDescent="0.2">
      <c r="A307" s="1">
        <v>45615</v>
      </c>
      <c r="B307">
        <v>7225.3254164813297</v>
      </c>
      <c r="C307">
        <v>9593.2261360601897</v>
      </c>
      <c r="D307">
        <v>7168</v>
      </c>
      <c r="E307">
        <v>7959.4694929014704</v>
      </c>
      <c r="F307">
        <v>-677.80955220670899</v>
      </c>
      <c r="G307">
        <v>6966.00000000002</v>
      </c>
      <c r="H307">
        <v>-4959.7818239999997</v>
      </c>
      <c r="I307">
        <v>9460</v>
      </c>
      <c r="J307">
        <v>19750.587057548601</v>
      </c>
      <c r="K307">
        <v>2132</v>
      </c>
      <c r="L307">
        <v>7956.8732542933903</v>
      </c>
      <c r="M307">
        <v>-215.199999999997</v>
      </c>
      <c r="N307">
        <v>-819.97622000002696</v>
      </c>
      <c r="O307">
        <v>184.134051455601</v>
      </c>
      <c r="P307">
        <v>8927</v>
      </c>
      <c r="Q307">
        <v>4290</v>
      </c>
      <c r="R307">
        <v>7943</v>
      </c>
      <c r="S307">
        <v>7575</v>
      </c>
      <c r="T307">
        <v>16700</v>
      </c>
      <c r="U307">
        <v>12320</v>
      </c>
      <c r="V307">
        <v>17950</v>
      </c>
      <c r="W307">
        <v>7605</v>
      </c>
      <c r="X307">
        <v>8448</v>
      </c>
      <c r="Y307">
        <v>20306</v>
      </c>
      <c r="Z307">
        <v>3180</v>
      </c>
      <c r="AA307">
        <v>18900</v>
      </c>
      <c r="AC307">
        <v>11540</v>
      </c>
      <c r="AD307">
        <v>7802.0515978980102</v>
      </c>
      <c r="AE307">
        <v>7466.8691454249101</v>
      </c>
      <c r="AF307">
        <v>12670.2550778308</v>
      </c>
      <c r="AG307">
        <v>1711</v>
      </c>
      <c r="AH307">
        <v>14256</v>
      </c>
      <c r="AI307">
        <v>16320</v>
      </c>
      <c r="AJ307">
        <v>22902.2081891821</v>
      </c>
      <c r="AK307">
        <v>19249.441750000002</v>
      </c>
      <c r="AL307">
        <v>-826.19056459432795</v>
      </c>
      <c r="AM307">
        <v>22722</v>
      </c>
      <c r="AN307">
        <v>23688</v>
      </c>
      <c r="AP307">
        <v>-61.806772942895599</v>
      </c>
      <c r="AQ307">
        <v>15345</v>
      </c>
      <c r="AR307">
        <v>8526</v>
      </c>
      <c r="AS307">
        <v>19096</v>
      </c>
      <c r="AT307">
        <v>17472</v>
      </c>
      <c r="AU307">
        <v>-1460</v>
      </c>
      <c r="AV307">
        <v>-1700</v>
      </c>
      <c r="AW307">
        <v>5153.37221388131</v>
      </c>
      <c r="AX307">
        <v>10013</v>
      </c>
      <c r="AY307">
        <v>-15671.1585644317</v>
      </c>
      <c r="AZ307">
        <v>-6304.7039999999997</v>
      </c>
      <c r="BA307">
        <v>-7068.17669999995</v>
      </c>
      <c r="BB307">
        <v>15190</v>
      </c>
      <c r="BC307">
        <v>12122</v>
      </c>
      <c r="BD307">
        <v>5926.78445449433</v>
      </c>
      <c r="BE307">
        <f t="shared" si="8"/>
        <v>441946.79363927641</v>
      </c>
      <c r="BF307">
        <f t="shared" si="9"/>
        <v>51371638.1099995</v>
      </c>
    </row>
    <row r="308" spans="1:58" x14ac:dyDescent="0.2">
      <c r="A308" s="1">
        <v>45616</v>
      </c>
      <c r="B308">
        <v>8415</v>
      </c>
      <c r="C308">
        <v>3381</v>
      </c>
      <c r="D308">
        <v>1792</v>
      </c>
      <c r="E308">
        <v>2756</v>
      </c>
      <c r="F308">
        <v>-3314.7682692236799</v>
      </c>
      <c r="G308">
        <v>-3567.6663755822501</v>
      </c>
      <c r="H308">
        <v>3007.736312</v>
      </c>
      <c r="I308">
        <v>-5934.7518312249103</v>
      </c>
      <c r="J308">
        <v>6012.5824488398503</v>
      </c>
      <c r="K308">
        <v>-12.8816204492569</v>
      </c>
      <c r="L308">
        <v>5117.7113160538102</v>
      </c>
      <c r="M308">
        <v>-118.800000000002</v>
      </c>
      <c r="N308">
        <v>-2038.8371999999599</v>
      </c>
      <c r="O308">
        <v>4921.6553969428396</v>
      </c>
      <c r="P308">
        <v>2528</v>
      </c>
      <c r="Q308">
        <v>-10.3305607854582</v>
      </c>
      <c r="R308">
        <v>2535</v>
      </c>
      <c r="S308">
        <v>-15150</v>
      </c>
      <c r="T308">
        <v>13080</v>
      </c>
      <c r="U308">
        <v>3025</v>
      </c>
      <c r="V308">
        <v>8400</v>
      </c>
      <c r="W308">
        <v>5955</v>
      </c>
      <c r="X308">
        <v>1584</v>
      </c>
      <c r="Y308">
        <v>12760</v>
      </c>
      <c r="Z308">
        <v>3657</v>
      </c>
      <c r="AA308">
        <v>8588.99999999992</v>
      </c>
      <c r="AC308">
        <v>13855</v>
      </c>
      <c r="AD308">
        <v>2458.1011495708299</v>
      </c>
      <c r="AE308">
        <v>1170</v>
      </c>
      <c r="AF308">
        <v>2048</v>
      </c>
      <c r="AG308">
        <v>339</v>
      </c>
      <c r="AH308">
        <v>-1791.57728400001</v>
      </c>
      <c r="AI308">
        <v>-5160</v>
      </c>
      <c r="AJ308">
        <v>8008</v>
      </c>
      <c r="AK308">
        <v>6596.2380000000003</v>
      </c>
      <c r="AL308">
        <v>-1875</v>
      </c>
      <c r="AM308">
        <v>6216</v>
      </c>
      <c r="AN308">
        <v>6027</v>
      </c>
      <c r="AP308">
        <v>-325.041264799798</v>
      </c>
      <c r="AQ308">
        <v>11378.0566925392</v>
      </c>
      <c r="AR308">
        <v>-2233</v>
      </c>
      <c r="AS308">
        <v>10136</v>
      </c>
      <c r="AT308">
        <v>-1723.27083550631</v>
      </c>
      <c r="AU308">
        <v>-504.34787455344002</v>
      </c>
      <c r="AV308">
        <v>4556</v>
      </c>
      <c r="AW308">
        <v>-40.819165443211702</v>
      </c>
      <c r="AX308">
        <v>975.48559495779205</v>
      </c>
      <c r="AY308">
        <v>-841.30732561935395</v>
      </c>
      <c r="AZ308">
        <v>6317.6512000000002</v>
      </c>
      <c r="BA308">
        <v>14819.810719999899</v>
      </c>
      <c r="BB308">
        <v>9016</v>
      </c>
      <c r="BC308">
        <v>1672</v>
      </c>
      <c r="BD308">
        <v>3591.12420241777</v>
      </c>
      <c r="BE308">
        <f t="shared" si="8"/>
        <v>162053.75342613427</v>
      </c>
      <c r="BF308">
        <f t="shared" si="9"/>
        <v>51533691.863425635</v>
      </c>
    </row>
    <row r="309" spans="1:58" x14ac:dyDescent="0.2">
      <c r="A309" s="1">
        <v>45617</v>
      </c>
      <c r="B309">
        <v>7005</v>
      </c>
      <c r="C309">
        <v>5684</v>
      </c>
      <c r="D309">
        <v>7168</v>
      </c>
      <c r="E309">
        <v>2123.3919305897002</v>
      </c>
      <c r="F309">
        <v>-1661</v>
      </c>
      <c r="G309">
        <v>6636.00000000005</v>
      </c>
      <c r="H309">
        <v>3793.728744</v>
      </c>
      <c r="I309">
        <v>7776</v>
      </c>
      <c r="J309">
        <v>6171</v>
      </c>
      <c r="K309">
        <v>2766.37554866149</v>
      </c>
      <c r="L309">
        <v>2226.6352981580899</v>
      </c>
      <c r="M309">
        <v>-273.2</v>
      </c>
      <c r="N309">
        <v>-2170.7551600000202</v>
      </c>
      <c r="O309">
        <v>3903.64131470742</v>
      </c>
      <c r="P309">
        <v>4899.3427233499997</v>
      </c>
      <c r="Q309">
        <v>2619.3091694703598</v>
      </c>
      <c r="R309">
        <v>3549</v>
      </c>
      <c r="S309">
        <v>5002.0369823269302</v>
      </c>
      <c r="T309">
        <v>22120</v>
      </c>
      <c r="U309">
        <v>-2365</v>
      </c>
      <c r="V309">
        <v>4350</v>
      </c>
      <c r="W309">
        <v>2745</v>
      </c>
      <c r="X309">
        <v>4864</v>
      </c>
      <c r="Y309">
        <v>14586</v>
      </c>
      <c r="Z309">
        <v>5565</v>
      </c>
      <c r="AA309">
        <v>4914.00000000001</v>
      </c>
      <c r="AC309">
        <v>1975</v>
      </c>
      <c r="AD309">
        <v>3258.6051442696098</v>
      </c>
      <c r="AE309">
        <v>-2835</v>
      </c>
      <c r="AF309">
        <v>3008</v>
      </c>
      <c r="AG309">
        <v>862</v>
      </c>
      <c r="AH309">
        <v>3812.6151439999799</v>
      </c>
      <c r="AI309">
        <v>3000</v>
      </c>
      <c r="AJ309">
        <v>2288</v>
      </c>
      <c r="AK309">
        <v>7427.5838999999996</v>
      </c>
      <c r="AL309">
        <v>-2375</v>
      </c>
      <c r="AM309">
        <v>3507</v>
      </c>
      <c r="AN309">
        <v>3864</v>
      </c>
      <c r="AP309">
        <v>-3465</v>
      </c>
      <c r="AQ309">
        <v>6042.6579386864796</v>
      </c>
      <c r="AR309">
        <v>14007</v>
      </c>
      <c r="AS309">
        <v>434</v>
      </c>
      <c r="AT309">
        <v>4819.3783065407097</v>
      </c>
      <c r="AU309">
        <v>-496.07568460948198</v>
      </c>
      <c r="AV309">
        <v>1224</v>
      </c>
      <c r="AW309">
        <v>3042.0397470067701</v>
      </c>
      <c r="AX309">
        <v>12643.4669178492</v>
      </c>
      <c r="AY309">
        <v>0</v>
      </c>
      <c r="AZ309">
        <v>0</v>
      </c>
      <c r="BA309">
        <v>-11284.850200000001</v>
      </c>
      <c r="BB309">
        <v>13818</v>
      </c>
      <c r="BC309">
        <v>3762</v>
      </c>
      <c r="BD309">
        <v>5998.1779357692103</v>
      </c>
      <c r="BE309">
        <f t="shared" si="8"/>
        <v>202335.10570077656</v>
      </c>
      <c r="BF309">
        <f t="shared" si="9"/>
        <v>51736026.969126411</v>
      </c>
    </row>
    <row r="310" spans="1:58" x14ac:dyDescent="0.2">
      <c r="A310" s="1">
        <v>45618</v>
      </c>
      <c r="B310">
        <v>-3270</v>
      </c>
      <c r="C310">
        <v>-980</v>
      </c>
      <c r="D310">
        <v>-1810.7206196135501</v>
      </c>
      <c r="E310">
        <v>-123.808167538551</v>
      </c>
      <c r="F310">
        <v>1353</v>
      </c>
      <c r="G310">
        <v>15453.547855418299</v>
      </c>
      <c r="H310">
        <v>6765.4274599999999</v>
      </c>
      <c r="I310">
        <v>12763.2281010964</v>
      </c>
      <c r="J310">
        <v>-363</v>
      </c>
      <c r="K310">
        <v>-1938.2554699914101</v>
      </c>
      <c r="L310">
        <v>5239.7786574318598</v>
      </c>
      <c r="M310">
        <v>-562.05157873723294</v>
      </c>
      <c r="N310">
        <v>-3718.1323199999902</v>
      </c>
      <c r="O310">
        <v>38512.8608731657</v>
      </c>
      <c r="P310">
        <v>-3215.0684026856202</v>
      </c>
      <c r="Q310">
        <v>-741.35869479364806</v>
      </c>
      <c r="R310">
        <v>-55.278365891559297</v>
      </c>
      <c r="S310">
        <v>4631.8440723490203</v>
      </c>
      <c r="T310">
        <v>-8690</v>
      </c>
      <c r="U310">
        <v>-1760</v>
      </c>
      <c r="V310">
        <v>-400</v>
      </c>
      <c r="W310">
        <v>-6060</v>
      </c>
      <c r="X310">
        <v>1472.3298105710501</v>
      </c>
      <c r="Y310">
        <v>-4268</v>
      </c>
      <c r="Z310">
        <v>5871.9313462625096</v>
      </c>
      <c r="AA310">
        <v>-650.99999999997999</v>
      </c>
      <c r="AC310">
        <v>15055</v>
      </c>
      <c r="AD310">
        <v>1358.2021615495501</v>
      </c>
      <c r="AE310">
        <v>2655</v>
      </c>
      <c r="AF310">
        <v>2112</v>
      </c>
      <c r="AG310">
        <v>-4227.8052253710202</v>
      </c>
      <c r="AH310">
        <v>-3064.1612676148402</v>
      </c>
      <c r="AI310">
        <v>-240</v>
      </c>
      <c r="AJ310">
        <v>572</v>
      </c>
      <c r="AK310">
        <v>7716.8783999999996</v>
      </c>
      <c r="AL310">
        <v>321.74290886442498</v>
      </c>
      <c r="AM310">
        <v>966</v>
      </c>
      <c r="AN310">
        <v>1575</v>
      </c>
      <c r="AP310">
        <v>381.29571184012099</v>
      </c>
      <c r="AQ310">
        <v>4851.73772868385</v>
      </c>
      <c r="AR310">
        <v>-2842</v>
      </c>
      <c r="AS310">
        <v>-2783.8773745075</v>
      </c>
      <c r="AT310">
        <v>2734.72082080154</v>
      </c>
      <c r="AU310">
        <v>-1897.4967288789401</v>
      </c>
      <c r="AV310">
        <v>-2516</v>
      </c>
      <c r="AW310">
        <v>2584</v>
      </c>
      <c r="AX310">
        <v>38038</v>
      </c>
      <c r="AY310">
        <v>0</v>
      </c>
      <c r="AZ310">
        <v>13625.1021199999</v>
      </c>
      <c r="BA310">
        <v>4458.3536400000003</v>
      </c>
      <c r="BB310">
        <v>294</v>
      </c>
      <c r="BC310">
        <v>1045</v>
      </c>
      <c r="BD310">
        <v>-687.83653670997398</v>
      </c>
      <c r="BE310">
        <f t="shared" si="8"/>
        <v>135542.1309157004</v>
      </c>
      <c r="BF310">
        <f t="shared" si="9"/>
        <v>51871569.100042112</v>
      </c>
    </row>
    <row r="311" spans="1:58" x14ac:dyDescent="0.2">
      <c r="A311" s="1">
        <v>45621</v>
      </c>
      <c r="B311">
        <v>7500</v>
      </c>
      <c r="C311">
        <v>9555</v>
      </c>
      <c r="D311">
        <v>16340.3944290006</v>
      </c>
      <c r="E311">
        <v>8481.7388130405707</v>
      </c>
      <c r="F311">
        <v>1767.1060928693901</v>
      </c>
      <c r="G311">
        <v>30874</v>
      </c>
      <c r="H311">
        <v>4496.8188719999998</v>
      </c>
      <c r="I311">
        <v>40009.734079497801</v>
      </c>
      <c r="J311">
        <v>8019</v>
      </c>
      <c r="K311">
        <v>855.16303134032103</v>
      </c>
      <c r="L311">
        <v>6624.7044449740697</v>
      </c>
      <c r="M311">
        <v>-502.08139254840103</v>
      </c>
      <c r="N311">
        <v>7057.2356800000098</v>
      </c>
      <c r="O311">
        <v>36120.000000000102</v>
      </c>
      <c r="P311">
        <v>7139.2196557762099</v>
      </c>
      <c r="Q311">
        <v>4309.64452537337</v>
      </c>
      <c r="R311">
        <v>7210.1581126841702</v>
      </c>
      <c r="S311">
        <v>4570</v>
      </c>
      <c r="T311">
        <v>9530.6154747286691</v>
      </c>
      <c r="U311">
        <v>11220</v>
      </c>
      <c r="V311">
        <v>10100</v>
      </c>
      <c r="W311">
        <v>11775</v>
      </c>
      <c r="X311">
        <v>7396.3067717274898</v>
      </c>
      <c r="Y311">
        <v>9570</v>
      </c>
      <c r="Z311">
        <v>4627.8667786515198</v>
      </c>
      <c r="AA311">
        <v>10569.1912299458</v>
      </c>
      <c r="AC311">
        <v>-2530</v>
      </c>
      <c r="AD311">
        <v>6907.8549218510998</v>
      </c>
      <c r="AE311">
        <v>1395</v>
      </c>
      <c r="AF311">
        <v>16384</v>
      </c>
      <c r="AG311">
        <v>4784</v>
      </c>
      <c r="AH311">
        <v>13581.816651364399</v>
      </c>
      <c r="AI311">
        <v>3360</v>
      </c>
      <c r="AJ311">
        <v>16588</v>
      </c>
      <c r="AK311">
        <v>18053.393599999999</v>
      </c>
      <c r="AL311">
        <v>-4313.4825266222497</v>
      </c>
      <c r="AM311">
        <v>12621</v>
      </c>
      <c r="AN311">
        <v>10941</v>
      </c>
      <c r="AP311">
        <v>10.689971603486899</v>
      </c>
      <c r="AQ311">
        <v>6081.2190989273304</v>
      </c>
      <c r="AR311">
        <v>20300</v>
      </c>
      <c r="AS311">
        <v>6976</v>
      </c>
      <c r="AT311">
        <v>586.69249190205096</v>
      </c>
      <c r="AU311">
        <v>2652</v>
      </c>
      <c r="AV311">
        <v>1496</v>
      </c>
      <c r="AW311">
        <v>10744</v>
      </c>
      <c r="AX311">
        <v>39919</v>
      </c>
      <c r="AY311">
        <v>-17265.164873587401</v>
      </c>
      <c r="AZ311">
        <v>-8886.5468999999102</v>
      </c>
      <c r="BA311">
        <v>-7600.1983199999604</v>
      </c>
      <c r="BB311">
        <v>7350</v>
      </c>
      <c r="BC311">
        <v>17138</v>
      </c>
      <c r="BD311">
        <v>4325.8104207561901</v>
      </c>
      <c r="BE311">
        <f t="shared" si="8"/>
        <v>456816.9011352568</v>
      </c>
      <c r="BF311">
        <f t="shared" si="9"/>
        <v>52328386.001177371</v>
      </c>
    </row>
    <row r="312" spans="1:58" x14ac:dyDescent="0.2">
      <c r="A312" s="1">
        <v>45622</v>
      </c>
      <c r="B312">
        <v>6960</v>
      </c>
      <c r="C312">
        <v>5971.1551683123898</v>
      </c>
      <c r="D312">
        <v>28710</v>
      </c>
      <c r="E312">
        <v>14180.1627507106</v>
      </c>
      <c r="F312">
        <v>90</v>
      </c>
      <c r="G312">
        <v>21156</v>
      </c>
      <c r="H312">
        <v>404.80402445452</v>
      </c>
      <c r="I312">
        <v>24500</v>
      </c>
      <c r="J312">
        <v>12012</v>
      </c>
      <c r="K312">
        <v>4249.6196806631597</v>
      </c>
      <c r="L312">
        <v>8171.7596558981804</v>
      </c>
      <c r="M312">
        <v>1588.1078889939099</v>
      </c>
      <c r="N312">
        <v>625.71420999998998</v>
      </c>
      <c r="O312">
        <v>33153.5221442662</v>
      </c>
      <c r="P312">
        <v>20622.4979284275</v>
      </c>
      <c r="Q312">
        <v>12497.9893933724</v>
      </c>
      <c r="R312">
        <v>11517.1125054123</v>
      </c>
      <c r="S312">
        <v>7312</v>
      </c>
      <c r="T312">
        <v>6948</v>
      </c>
      <c r="U312">
        <v>11770</v>
      </c>
      <c r="V312">
        <v>12700</v>
      </c>
      <c r="W312">
        <v>7365</v>
      </c>
      <c r="X312">
        <v>16328.238063286801</v>
      </c>
      <c r="Y312">
        <v>12870</v>
      </c>
      <c r="Z312">
        <v>6442.19916007338</v>
      </c>
      <c r="AA312">
        <v>14064.665538520199</v>
      </c>
      <c r="AC312">
        <v>6750</v>
      </c>
      <c r="AD312">
        <v>8028.7891649929998</v>
      </c>
      <c r="AE312">
        <v>3420</v>
      </c>
      <c r="AF312">
        <v>26624</v>
      </c>
      <c r="AG312">
        <v>8516</v>
      </c>
      <c r="AH312">
        <v>29180.327761613102</v>
      </c>
      <c r="AI312">
        <v>3960</v>
      </c>
      <c r="AJ312">
        <v>31460</v>
      </c>
      <c r="AK312">
        <v>18335.477875</v>
      </c>
      <c r="AL312">
        <v>-1628.0716051755001</v>
      </c>
      <c r="AM312">
        <v>16212</v>
      </c>
      <c r="AN312">
        <v>16758</v>
      </c>
      <c r="AP312">
        <v>27.2959546095184</v>
      </c>
      <c r="AQ312">
        <v>-4780.48219160194</v>
      </c>
      <c r="AR312">
        <v>32074</v>
      </c>
      <c r="AS312">
        <v>14004.954990695</v>
      </c>
      <c r="AT312">
        <v>30012.772883227099</v>
      </c>
      <c r="AU312">
        <v>2118.3760810783101</v>
      </c>
      <c r="AV312">
        <v>-3876</v>
      </c>
      <c r="AW312">
        <v>3912.6362666715099</v>
      </c>
      <c r="AX312">
        <v>34295</v>
      </c>
      <c r="AY312">
        <v>-1526.9077151154299</v>
      </c>
      <c r="AZ312">
        <v>-4524.0602400000398</v>
      </c>
      <c r="BA312">
        <v>-3281.9038200002001</v>
      </c>
      <c r="BB312">
        <v>21070</v>
      </c>
      <c r="BC312">
        <v>19437</v>
      </c>
      <c r="BD312">
        <v>12547.8699756808</v>
      </c>
      <c r="BE312">
        <f t="shared" si="8"/>
        <v>621337.62349406676</v>
      </c>
      <c r="BF312">
        <f t="shared" si="9"/>
        <v>52949723.624671437</v>
      </c>
    </row>
    <row r="313" spans="1:58" x14ac:dyDescent="0.2">
      <c r="A313" s="1">
        <v>45623</v>
      </c>
      <c r="B313">
        <v>3907.2300549864199</v>
      </c>
      <c r="C313">
        <v>-7833.8723686478997</v>
      </c>
      <c r="D313">
        <v>18183</v>
      </c>
      <c r="E313">
        <v>1787.4632311191399</v>
      </c>
      <c r="F313">
        <v>1080</v>
      </c>
      <c r="G313">
        <v>-9890.0000000000091</v>
      </c>
      <c r="H313">
        <v>-9044.1443335870208</v>
      </c>
      <c r="I313">
        <v>8148</v>
      </c>
      <c r="J313">
        <v>-6270</v>
      </c>
      <c r="K313">
        <v>3506.2803179313901</v>
      </c>
      <c r="L313">
        <v>-12612.2995364213</v>
      </c>
      <c r="M313">
        <v>1308.41544108259</v>
      </c>
      <c r="N313">
        <v>-1110.5615600000201</v>
      </c>
      <c r="O313">
        <v>669.99999999986596</v>
      </c>
      <c r="P313">
        <v>-12296</v>
      </c>
      <c r="Q313">
        <v>-4150.2949398671099</v>
      </c>
      <c r="R313">
        <v>658.88546766568095</v>
      </c>
      <c r="S313">
        <v>-1828</v>
      </c>
      <c r="T313">
        <v>3051</v>
      </c>
      <c r="U313">
        <v>1705</v>
      </c>
      <c r="V313">
        <v>-3400</v>
      </c>
      <c r="W313">
        <v>4371.9540664349897</v>
      </c>
      <c r="X313">
        <v>9690</v>
      </c>
      <c r="Y313">
        <v>-6864</v>
      </c>
      <c r="Z313">
        <v>960.74728854632804</v>
      </c>
      <c r="AA313">
        <v>-3879.8369944103401</v>
      </c>
      <c r="AC313">
        <v>-688.17003100962995</v>
      </c>
      <c r="AD313">
        <v>-48321.743961085602</v>
      </c>
      <c r="AE313">
        <v>-9921.4708089229498</v>
      </c>
      <c r="AF313">
        <v>20608</v>
      </c>
      <c r="AG313">
        <v>-1178</v>
      </c>
      <c r="AH313">
        <v>-426</v>
      </c>
      <c r="AI313">
        <v>-245.50005799920501</v>
      </c>
      <c r="AJ313">
        <v>22022</v>
      </c>
      <c r="AK313">
        <v>-2854.2469999999998</v>
      </c>
      <c r="AL313">
        <v>-1375.46274439424</v>
      </c>
      <c r="AM313">
        <v>1050</v>
      </c>
      <c r="AN313">
        <v>1491</v>
      </c>
      <c r="AP313">
        <v>-15.1185389033398</v>
      </c>
      <c r="AQ313">
        <v>1368.21660591619</v>
      </c>
      <c r="AR313">
        <v>22084.697765043202</v>
      </c>
      <c r="AS313">
        <v>-12250.1199564489</v>
      </c>
      <c r="AT313">
        <v>3456</v>
      </c>
      <c r="AU313">
        <v>269.63805479503901</v>
      </c>
      <c r="AV313">
        <v>-136</v>
      </c>
      <c r="AW313">
        <v>-3679.6040446645302</v>
      </c>
      <c r="AX313">
        <v>1577</v>
      </c>
      <c r="AY313">
        <v>17151.218699999401</v>
      </c>
      <c r="AZ313">
        <v>-7520.3937200000701</v>
      </c>
      <c r="BA313">
        <v>-18025.403759999699</v>
      </c>
      <c r="BB313">
        <v>-1568</v>
      </c>
      <c r="BC313">
        <v>14421</v>
      </c>
      <c r="BD313">
        <v>-7524</v>
      </c>
      <c r="BE313">
        <f t="shared" si="8"/>
        <v>-30381.497362841634</v>
      </c>
      <c r="BF313">
        <f t="shared" si="9"/>
        <v>52919342.127308592</v>
      </c>
    </row>
    <row r="314" spans="1:58" x14ac:dyDescent="0.2">
      <c r="A314" s="1">
        <v>45624</v>
      </c>
      <c r="B314">
        <v>-5734.6690646880197</v>
      </c>
      <c r="C314">
        <v>-10670</v>
      </c>
      <c r="D314">
        <v>-36366</v>
      </c>
      <c r="E314">
        <v>-19481.0923457602</v>
      </c>
      <c r="F314">
        <v>1640</v>
      </c>
      <c r="G314">
        <v>15476.161884662401</v>
      </c>
      <c r="H314">
        <v>10890.318208000001</v>
      </c>
      <c r="I314">
        <v>16310</v>
      </c>
      <c r="J314">
        <v>-3597</v>
      </c>
      <c r="K314">
        <v>-11544.023443063999</v>
      </c>
      <c r="L314">
        <v>-9516</v>
      </c>
      <c r="M314">
        <v>663.71998263321598</v>
      </c>
      <c r="N314">
        <v>535.80804000003798</v>
      </c>
      <c r="O314">
        <v>27604.000000000098</v>
      </c>
      <c r="P314">
        <v>-3816</v>
      </c>
      <c r="Q314">
        <v>-4320</v>
      </c>
      <c r="R314">
        <v>-4113.8447388907498</v>
      </c>
      <c r="S314">
        <v>-6408.3755718247203</v>
      </c>
      <c r="T314">
        <v>-19098</v>
      </c>
      <c r="U314">
        <v>-11387.781309071601</v>
      </c>
      <c r="V314">
        <v>-13539.344647890701</v>
      </c>
      <c r="W314">
        <v>-2552.0129679311099</v>
      </c>
      <c r="X314">
        <v>-17974</v>
      </c>
      <c r="Y314">
        <v>-11022</v>
      </c>
      <c r="Z314">
        <v>-8781.0368497537002</v>
      </c>
      <c r="AA314">
        <v>-16408.3737631597</v>
      </c>
      <c r="AC314">
        <v>-7920</v>
      </c>
      <c r="AD314">
        <v>35952.688897079803</v>
      </c>
      <c r="AE314">
        <v>-12000</v>
      </c>
      <c r="AF314">
        <v>-14912</v>
      </c>
      <c r="AG314">
        <v>-2138</v>
      </c>
      <c r="AH314">
        <v>-17679</v>
      </c>
      <c r="AI314">
        <v>2469.0176742490698</v>
      </c>
      <c r="AJ314">
        <v>-28602.3766773483</v>
      </c>
      <c r="AK314">
        <v>-7511.8185999999996</v>
      </c>
      <c r="AL314">
        <v>-1577.7250529944399</v>
      </c>
      <c r="AM314">
        <v>-14192.4995370999</v>
      </c>
      <c r="AN314">
        <v>-14243.3920053196</v>
      </c>
      <c r="AP314">
        <v>-3003.8603312576602</v>
      </c>
      <c r="AQ314">
        <v>-25921.7117758975</v>
      </c>
      <c r="AR314">
        <v>-14852</v>
      </c>
      <c r="AS314">
        <v>-8550</v>
      </c>
      <c r="AT314">
        <v>-4224</v>
      </c>
      <c r="AU314">
        <v>-4791.87539171964</v>
      </c>
      <c r="AV314">
        <v>-4148</v>
      </c>
      <c r="AW314">
        <v>-4999.2368599871897</v>
      </c>
      <c r="AX314">
        <v>20501</v>
      </c>
      <c r="AY314">
        <v>-7101.7222499995596</v>
      </c>
      <c r="AZ314">
        <v>3241.2330646055402</v>
      </c>
      <c r="BA314">
        <v>27.859815706836201</v>
      </c>
      <c r="BB314">
        <v>-20482</v>
      </c>
      <c r="BC314">
        <v>-17138</v>
      </c>
      <c r="BD314">
        <v>-5016</v>
      </c>
      <c r="BE314">
        <f t="shared" si="8"/>
        <v>-322022.96561672125</v>
      </c>
      <c r="BF314">
        <f t="shared" si="9"/>
        <v>52597319.161691874</v>
      </c>
    </row>
    <row r="315" spans="1:58" x14ac:dyDescent="0.2">
      <c r="A315" s="1">
        <v>45625</v>
      </c>
      <c r="B315">
        <v>-4250</v>
      </c>
      <c r="C315">
        <v>-1375</v>
      </c>
      <c r="D315">
        <v>15973.8085084953</v>
      </c>
      <c r="E315">
        <v>-472</v>
      </c>
      <c r="F315">
        <v>1964.9515768824001</v>
      </c>
      <c r="G315">
        <v>-18094.000000000098</v>
      </c>
      <c r="H315">
        <v>6297.1128959999996</v>
      </c>
      <c r="I315">
        <v>-27202</v>
      </c>
      <c r="J315">
        <v>-3168</v>
      </c>
      <c r="K315">
        <v>977.24962882729903</v>
      </c>
      <c r="L315">
        <v>-10725</v>
      </c>
      <c r="M315">
        <v>-2759.1835181700399</v>
      </c>
      <c r="N315">
        <v>-1782.1715999999999</v>
      </c>
      <c r="O315">
        <v>-3752.00000000006</v>
      </c>
      <c r="P315">
        <v>-1060</v>
      </c>
      <c r="Q315">
        <v>480</v>
      </c>
      <c r="R315">
        <v>-4522</v>
      </c>
      <c r="S315">
        <v>-2330</v>
      </c>
      <c r="T315">
        <v>1398.6979925543601</v>
      </c>
      <c r="U315">
        <v>-13048</v>
      </c>
      <c r="V315">
        <v>-5400</v>
      </c>
      <c r="W315">
        <v>485.03889866328399</v>
      </c>
      <c r="X315">
        <v>-848.93774849182705</v>
      </c>
      <c r="Y315">
        <v>-9086</v>
      </c>
      <c r="Z315">
        <v>-3616</v>
      </c>
      <c r="AA315">
        <v>-4362.49999999995</v>
      </c>
      <c r="AC315">
        <v>-2736</v>
      </c>
      <c r="AD315">
        <v>-3420.9077467928601</v>
      </c>
      <c r="AE315">
        <v>2671.6460104668599</v>
      </c>
      <c r="AF315">
        <v>-7197.4353636770502</v>
      </c>
      <c r="AG315">
        <v>2616</v>
      </c>
      <c r="AH315">
        <v>-5538</v>
      </c>
      <c r="AI315">
        <v>-1200.3380087651601</v>
      </c>
      <c r="AJ315">
        <v>3852.7322011563101</v>
      </c>
      <c r="AK315">
        <v>-10693.0296</v>
      </c>
      <c r="AL315">
        <v>102</v>
      </c>
      <c r="AM315">
        <v>-13596</v>
      </c>
      <c r="AN315">
        <v>-14322</v>
      </c>
      <c r="AP315">
        <v>1624</v>
      </c>
      <c r="AQ315">
        <v>-9714.4913738967498</v>
      </c>
      <c r="AR315">
        <v>-1925.4342385155801</v>
      </c>
      <c r="AS315">
        <v>-3492</v>
      </c>
      <c r="AT315">
        <v>768</v>
      </c>
      <c r="AU315">
        <v>2046</v>
      </c>
      <c r="AV315">
        <v>-952</v>
      </c>
      <c r="AW315">
        <v>1755</v>
      </c>
      <c r="AX315">
        <v>-35606</v>
      </c>
      <c r="AY315">
        <v>0</v>
      </c>
      <c r="AZ315">
        <v>-2202.2964000000802</v>
      </c>
      <c r="BA315">
        <v>-9451.1716029579402</v>
      </c>
      <c r="BB315">
        <v>-4749.0979410865002</v>
      </c>
      <c r="BC315">
        <v>836</v>
      </c>
      <c r="BD315">
        <v>2432</v>
      </c>
      <c r="BE315">
        <f t="shared" si="8"/>
        <v>-198368.75742930808</v>
      </c>
      <c r="BF315">
        <f t="shared" si="9"/>
        <v>52398950.404262565</v>
      </c>
    </row>
    <row r="316" spans="1:58" x14ac:dyDescent="0.2">
      <c r="A316" s="1">
        <v>45628</v>
      </c>
      <c r="B316">
        <v>833</v>
      </c>
      <c r="C316">
        <v>5225</v>
      </c>
      <c r="D316">
        <v>-6592.67697912536</v>
      </c>
      <c r="E316">
        <v>-3604.1303367477399</v>
      </c>
      <c r="F316">
        <v>1387.95408856415</v>
      </c>
      <c r="G316">
        <v>4960.5961386491399</v>
      </c>
      <c r="H316">
        <v>16335.4657395741</v>
      </c>
      <c r="I316">
        <v>-5491.7480990337899</v>
      </c>
      <c r="J316">
        <v>-396</v>
      </c>
      <c r="K316">
        <v>-5362.1655871366502</v>
      </c>
      <c r="L316">
        <v>-780</v>
      </c>
      <c r="M316">
        <v>-255.299999999986</v>
      </c>
      <c r="N316">
        <v>1745.4025799999799</v>
      </c>
      <c r="O316">
        <v>0</v>
      </c>
      <c r="P316">
        <v>212</v>
      </c>
      <c r="Q316">
        <v>-4080</v>
      </c>
      <c r="R316">
        <v>-238</v>
      </c>
      <c r="S316">
        <v>932</v>
      </c>
      <c r="T316">
        <v>80</v>
      </c>
      <c r="U316">
        <v>-5353.5373579417101</v>
      </c>
      <c r="V316">
        <v>-5400</v>
      </c>
      <c r="W316">
        <v>-7789.9597153880404</v>
      </c>
      <c r="X316">
        <v>1429.0536867552501</v>
      </c>
      <c r="Y316">
        <v>8404</v>
      </c>
      <c r="Z316">
        <v>2034</v>
      </c>
      <c r="AA316">
        <v>-4412.50000000002</v>
      </c>
      <c r="AC316">
        <v>-7140</v>
      </c>
      <c r="AD316">
        <v>-532</v>
      </c>
      <c r="AE316">
        <v>-4984.1579292209199</v>
      </c>
      <c r="AF316">
        <v>396.48795147439398</v>
      </c>
      <c r="AG316">
        <v>-5314</v>
      </c>
      <c r="AH316">
        <v>-2556</v>
      </c>
      <c r="AI316">
        <v>124.574089290332</v>
      </c>
      <c r="AJ316">
        <v>-7039.3648978771498</v>
      </c>
      <c r="AK316">
        <v>-1777.7248499999901</v>
      </c>
      <c r="AL316">
        <v>-2724.8686439389398</v>
      </c>
      <c r="AM316">
        <v>528</v>
      </c>
      <c r="AN316">
        <v>-462</v>
      </c>
      <c r="AP316">
        <v>840</v>
      </c>
      <c r="AQ316">
        <v>-10402.3759840271</v>
      </c>
      <c r="AR316">
        <v>3093.16110595494</v>
      </c>
      <c r="AS316">
        <v>-10368</v>
      </c>
      <c r="AT316">
        <v>384</v>
      </c>
      <c r="AU316">
        <v>-4092</v>
      </c>
      <c r="AV316">
        <v>2288.4934792662698</v>
      </c>
      <c r="AW316">
        <v>5850</v>
      </c>
      <c r="AX316">
        <v>8467.5299472122097</v>
      </c>
      <c r="AY316">
        <v>0</v>
      </c>
      <c r="AZ316">
        <v>8798.7252645305798</v>
      </c>
      <c r="BA316">
        <v>-628.29762882617001</v>
      </c>
      <c r="BB316">
        <v>-4206.4522091816798</v>
      </c>
      <c r="BC316">
        <v>-8569</v>
      </c>
      <c r="BD316">
        <v>-2356</v>
      </c>
      <c r="BE316">
        <f t="shared" si="8"/>
        <v>-48558.816147173915</v>
      </c>
      <c r="BF316">
        <f t="shared" si="9"/>
        <v>52350391.588115394</v>
      </c>
    </row>
    <row r="317" spans="1:58" x14ac:dyDescent="0.2">
      <c r="A317" s="1">
        <v>45629</v>
      </c>
      <c r="B317">
        <v>5287</v>
      </c>
      <c r="C317">
        <v>8745</v>
      </c>
      <c r="D317">
        <v>9213.8146458884894</v>
      </c>
      <c r="E317">
        <v>13355.3160488214</v>
      </c>
      <c r="F317">
        <v>-3402.5028136953601</v>
      </c>
      <c r="G317">
        <v>-10471.9999999999</v>
      </c>
      <c r="H317">
        <v>9244.0122296497902</v>
      </c>
      <c r="I317">
        <v>-13758.8193114327</v>
      </c>
      <c r="J317">
        <v>13629</v>
      </c>
      <c r="K317">
        <v>6417.4964843644602</v>
      </c>
      <c r="L317">
        <v>9711</v>
      </c>
      <c r="M317">
        <v>-4055.2000000000098</v>
      </c>
      <c r="N317">
        <v>226.25588999998999</v>
      </c>
      <c r="O317">
        <v>-45024</v>
      </c>
      <c r="P317">
        <v>11978</v>
      </c>
      <c r="Q317">
        <v>9120</v>
      </c>
      <c r="R317">
        <v>4998</v>
      </c>
      <c r="S317">
        <v>6990</v>
      </c>
      <c r="T317">
        <v>12840</v>
      </c>
      <c r="U317">
        <v>4066.8250208381901</v>
      </c>
      <c r="V317">
        <v>17775</v>
      </c>
      <c r="W317">
        <v>10820</v>
      </c>
      <c r="X317">
        <v>8144</v>
      </c>
      <c r="Y317">
        <v>12034</v>
      </c>
      <c r="Z317">
        <v>4520</v>
      </c>
      <c r="AA317">
        <v>14575</v>
      </c>
      <c r="AB317">
        <v>0</v>
      </c>
      <c r="AC317">
        <v>12696</v>
      </c>
      <c r="AD317">
        <v>2307.55251791614</v>
      </c>
      <c r="AE317">
        <v>124.325400351136</v>
      </c>
      <c r="AF317">
        <v>9352</v>
      </c>
      <c r="AG317">
        <v>-1802</v>
      </c>
      <c r="AH317">
        <v>30455.719659683498</v>
      </c>
      <c r="AI317">
        <v>1672.0806201738901</v>
      </c>
      <c r="AJ317">
        <v>12406.346307645401</v>
      </c>
      <c r="AK317">
        <v>4148.0246500000003</v>
      </c>
      <c r="AL317">
        <v>1050</v>
      </c>
      <c r="AM317">
        <v>10208</v>
      </c>
      <c r="AN317">
        <v>10648</v>
      </c>
      <c r="AP317">
        <v>490</v>
      </c>
      <c r="AQ317">
        <v>1376.63009606177</v>
      </c>
      <c r="AR317">
        <v>8379</v>
      </c>
      <c r="AS317">
        <v>16748.7221135904</v>
      </c>
      <c r="AT317">
        <v>10752</v>
      </c>
      <c r="AU317">
        <v>2894.2557779117201</v>
      </c>
      <c r="AV317">
        <v>-2613</v>
      </c>
      <c r="AW317">
        <v>344.13248393860403</v>
      </c>
      <c r="AX317">
        <v>-24105</v>
      </c>
      <c r="AY317">
        <v>15342.128549999699</v>
      </c>
      <c r="AZ317">
        <v>-3631.7159999998898</v>
      </c>
      <c r="BA317">
        <v>-8465.2121293491691</v>
      </c>
      <c r="BB317">
        <v>13435.043104905</v>
      </c>
      <c r="BC317">
        <v>-1059.70935246976</v>
      </c>
      <c r="BD317">
        <v>1596</v>
      </c>
      <c r="BE317">
        <f t="shared" si="8"/>
        <v>241726.52199479274</v>
      </c>
      <c r="BF317">
        <f t="shared" si="9"/>
        <v>52592118.110110186</v>
      </c>
    </row>
    <row r="318" spans="1:58" x14ac:dyDescent="0.2">
      <c r="A318" s="1">
        <v>45630</v>
      </c>
      <c r="B318">
        <v>4137.17345039471</v>
      </c>
      <c r="C318">
        <v>1595</v>
      </c>
      <c r="D318">
        <v>10832</v>
      </c>
      <c r="E318">
        <v>10812</v>
      </c>
      <c r="F318">
        <v>22</v>
      </c>
      <c r="G318">
        <v>-5111.6657763369303</v>
      </c>
      <c r="H318">
        <v>18332.650740522</v>
      </c>
      <c r="I318">
        <v>-2357.7506744112502</v>
      </c>
      <c r="J318">
        <v>3366</v>
      </c>
      <c r="K318">
        <v>5148</v>
      </c>
      <c r="L318">
        <v>23205</v>
      </c>
      <c r="M318">
        <v>-96.199999999946101</v>
      </c>
      <c r="N318">
        <v>-1200.36895999998</v>
      </c>
      <c r="O318">
        <v>-20996.367666407801</v>
      </c>
      <c r="P318">
        <v>8268</v>
      </c>
      <c r="Q318">
        <v>5749.6779446291703</v>
      </c>
      <c r="R318">
        <v>2111.5933867212402</v>
      </c>
      <c r="S318">
        <v>3260.8634940317602</v>
      </c>
      <c r="T318">
        <v>792</v>
      </c>
      <c r="U318">
        <v>1607.2083378822299</v>
      </c>
      <c r="V318">
        <v>16050</v>
      </c>
      <c r="W318">
        <v>8860.9680474398992</v>
      </c>
      <c r="X318">
        <v>1248</v>
      </c>
      <c r="Y318">
        <v>3630</v>
      </c>
      <c r="Z318">
        <v>10170</v>
      </c>
      <c r="AA318">
        <v>13287.4999999999</v>
      </c>
      <c r="AB318">
        <v>0</v>
      </c>
      <c r="AC318">
        <v>3012</v>
      </c>
      <c r="AD318">
        <v>7400</v>
      </c>
      <c r="AE318">
        <v>1621.70066775328</v>
      </c>
      <c r="AF318">
        <v>5264</v>
      </c>
      <c r="AG318">
        <v>3688</v>
      </c>
      <c r="AH318">
        <v>5466.0605024049501</v>
      </c>
      <c r="AI318">
        <v>-3726.2235829404299</v>
      </c>
      <c r="AJ318">
        <v>5832</v>
      </c>
      <c r="AK318">
        <v>8547.2700499999992</v>
      </c>
      <c r="AL318">
        <v>5530</v>
      </c>
      <c r="AM318">
        <v>8426</v>
      </c>
      <c r="AN318">
        <v>8998</v>
      </c>
      <c r="AP318">
        <v>182</v>
      </c>
      <c r="AQ318">
        <v>28227.536664343599</v>
      </c>
      <c r="AR318">
        <v>4104</v>
      </c>
      <c r="AS318">
        <v>11050</v>
      </c>
      <c r="AT318">
        <v>6144</v>
      </c>
      <c r="AU318">
        <v>870</v>
      </c>
      <c r="AV318">
        <v>6676.5004987302</v>
      </c>
      <c r="AW318">
        <v>1855.9961275405001</v>
      </c>
      <c r="AX318">
        <v>-3817.42260323346</v>
      </c>
      <c r="AY318">
        <v>-917.80434846534104</v>
      </c>
      <c r="AZ318">
        <v>3992.7755999999999</v>
      </c>
      <c r="BA318">
        <v>12534.251379241799</v>
      </c>
      <c r="BB318">
        <v>10140</v>
      </c>
      <c r="BC318">
        <v>7995</v>
      </c>
      <c r="BD318">
        <v>5320</v>
      </c>
      <c r="BE318">
        <f t="shared" si="8"/>
        <v>277138.92327984009</v>
      </c>
      <c r="BF318">
        <f t="shared" si="9"/>
        <v>52869257.033390023</v>
      </c>
    </row>
    <row r="319" spans="1:58" x14ac:dyDescent="0.2">
      <c r="A319" s="1">
        <v>45631</v>
      </c>
      <c r="B319">
        <v>-2058.8216169484899</v>
      </c>
      <c r="C319">
        <v>-3025</v>
      </c>
      <c r="D319">
        <v>4062</v>
      </c>
      <c r="E319">
        <v>-11322</v>
      </c>
      <c r="F319">
        <v>2244</v>
      </c>
      <c r="G319">
        <v>-33343.267505319098</v>
      </c>
      <c r="H319">
        <v>9918.2342643927896</v>
      </c>
      <c r="I319">
        <v>-34364</v>
      </c>
      <c r="J319">
        <v>-2442</v>
      </c>
      <c r="K319">
        <v>3432</v>
      </c>
      <c r="L319">
        <v>-585</v>
      </c>
      <c r="M319">
        <v>-13146.1</v>
      </c>
      <c r="N319">
        <v>1890.14283999997</v>
      </c>
      <c r="O319">
        <v>-43506.310939331001</v>
      </c>
      <c r="P319">
        <v>-3973.61578468885</v>
      </c>
      <c r="Q319">
        <v>-3020.65581277309</v>
      </c>
      <c r="R319">
        <v>194.253180266751</v>
      </c>
      <c r="S319">
        <v>-1465.55235186389</v>
      </c>
      <c r="T319">
        <v>-3272</v>
      </c>
      <c r="U319">
        <v>2346</v>
      </c>
      <c r="V319">
        <v>-9750</v>
      </c>
      <c r="W319">
        <v>2374.9654716233799</v>
      </c>
      <c r="X319">
        <v>-2416</v>
      </c>
      <c r="Y319">
        <v>3102</v>
      </c>
      <c r="Z319">
        <v>-2260</v>
      </c>
      <c r="AA319">
        <v>-7899.99999999997</v>
      </c>
      <c r="AB319">
        <v>0</v>
      </c>
      <c r="AC319">
        <v>1674</v>
      </c>
      <c r="AD319">
        <v>-1406</v>
      </c>
      <c r="AE319">
        <v>-132</v>
      </c>
      <c r="AF319">
        <v>-4144</v>
      </c>
      <c r="AG319">
        <v>2360</v>
      </c>
      <c r="AH319">
        <v>-13068</v>
      </c>
      <c r="AI319">
        <v>9247.7944677025207</v>
      </c>
      <c r="AJ319">
        <v>-1728</v>
      </c>
      <c r="AK319">
        <v>-20149.135050000001</v>
      </c>
      <c r="AL319">
        <v>980.65738571491397</v>
      </c>
      <c r="AM319">
        <v>-9768</v>
      </c>
      <c r="AN319">
        <v>-9064</v>
      </c>
      <c r="AP319">
        <v>-546</v>
      </c>
      <c r="AQ319">
        <v>-19788.442943911399</v>
      </c>
      <c r="AR319">
        <v>-1197</v>
      </c>
      <c r="AS319">
        <v>-2618</v>
      </c>
      <c r="AT319">
        <v>-4608</v>
      </c>
      <c r="AU319">
        <v>-2262</v>
      </c>
      <c r="AV319">
        <v>-5082</v>
      </c>
      <c r="AW319">
        <v>-4677.4150546823203</v>
      </c>
      <c r="AX319">
        <v>-43054.675766320797</v>
      </c>
      <c r="AY319">
        <v>0</v>
      </c>
      <c r="AZ319">
        <v>-6597.7505000000001</v>
      </c>
      <c r="BA319">
        <v>-1615.13147999998</v>
      </c>
      <c r="BB319">
        <v>-6942</v>
      </c>
      <c r="BC319">
        <v>-8405</v>
      </c>
      <c r="BD319">
        <v>-3800</v>
      </c>
      <c r="BE319">
        <f t="shared" si="8"/>
        <v>-304676.82719613862</v>
      </c>
      <c r="BF319">
        <f t="shared" si="9"/>
        <v>52564580.206193887</v>
      </c>
    </row>
    <row r="320" spans="1:58" x14ac:dyDescent="0.2">
      <c r="A320" s="1">
        <v>45632</v>
      </c>
      <c r="B320">
        <v>-4201.3550403560203</v>
      </c>
      <c r="C320">
        <v>-8525</v>
      </c>
      <c r="D320">
        <v>-5416</v>
      </c>
      <c r="E320">
        <v>-5814</v>
      </c>
      <c r="F320">
        <v>3190</v>
      </c>
      <c r="G320">
        <v>-16113.6061385749</v>
      </c>
      <c r="H320">
        <v>5182.6281903394902</v>
      </c>
      <c r="I320">
        <v>-26760.584496319301</v>
      </c>
      <c r="J320">
        <v>-1254</v>
      </c>
      <c r="K320">
        <v>-2014.51710704227</v>
      </c>
      <c r="L320">
        <v>3744</v>
      </c>
      <c r="M320">
        <v>-6702.1672292578196</v>
      </c>
      <c r="N320">
        <v>125.083320000028</v>
      </c>
      <c r="O320">
        <v>-34879.526821240397</v>
      </c>
      <c r="P320">
        <v>-1688.71946506525</v>
      </c>
      <c r="Q320">
        <v>-2980.3341516617202</v>
      </c>
      <c r="R320">
        <v>231.45933974187</v>
      </c>
      <c r="S320">
        <v>492.41591908734699</v>
      </c>
      <c r="T320">
        <v>-872</v>
      </c>
      <c r="U320">
        <v>-4590</v>
      </c>
      <c r="V320">
        <v>-4125</v>
      </c>
      <c r="W320">
        <v>1281.99714985163</v>
      </c>
      <c r="X320">
        <v>-3056</v>
      </c>
      <c r="Y320">
        <v>-8734</v>
      </c>
      <c r="Z320">
        <v>-4294</v>
      </c>
      <c r="AA320">
        <v>-3274.99999999997</v>
      </c>
      <c r="AB320">
        <v>-76.685774478127996</v>
      </c>
      <c r="AC320">
        <v>-9987.3178418600201</v>
      </c>
      <c r="AD320">
        <v>-1591</v>
      </c>
      <c r="AE320">
        <v>96</v>
      </c>
      <c r="AF320">
        <v>224</v>
      </c>
      <c r="AG320">
        <v>1298</v>
      </c>
      <c r="AH320">
        <v>-10510.508721505499</v>
      </c>
      <c r="AI320">
        <v>-7752.6402363338402</v>
      </c>
      <c r="AJ320">
        <v>3240</v>
      </c>
      <c r="AK320">
        <v>-12063.239890061001</v>
      </c>
      <c r="AL320">
        <v>2344.9027938965401</v>
      </c>
      <c r="AM320">
        <v>-10208</v>
      </c>
      <c r="AN320">
        <v>-11154</v>
      </c>
      <c r="AP320">
        <v>-210</v>
      </c>
      <c r="AQ320">
        <v>-3277.1634959488802</v>
      </c>
      <c r="AR320">
        <v>342</v>
      </c>
      <c r="AS320">
        <v>-1785</v>
      </c>
      <c r="AT320">
        <v>4224</v>
      </c>
      <c r="AU320">
        <v>-174</v>
      </c>
      <c r="AV320">
        <v>2904</v>
      </c>
      <c r="AW320">
        <v>2412</v>
      </c>
      <c r="AX320">
        <v>-26699.371312798899</v>
      </c>
      <c r="AY320">
        <v>-884.54910529260303</v>
      </c>
      <c r="AZ320">
        <v>-6979.6247400000902</v>
      </c>
      <c r="BA320">
        <v>-2995.01279999999</v>
      </c>
      <c r="BB320">
        <v>-468</v>
      </c>
      <c r="BC320">
        <v>-3075</v>
      </c>
      <c r="BD320">
        <v>-2888</v>
      </c>
      <c r="BE320">
        <f t="shared" si="8"/>
        <v>-226742.4376548797</v>
      </c>
      <c r="BF320">
        <f t="shared" si="9"/>
        <v>52337837.768539004</v>
      </c>
    </row>
    <row r="321" spans="1:58" x14ac:dyDescent="0.2">
      <c r="A321" s="1">
        <v>45635</v>
      </c>
      <c r="B321">
        <v>-1408</v>
      </c>
      <c r="C321">
        <v>-715</v>
      </c>
      <c r="D321">
        <v>-3385</v>
      </c>
      <c r="E321">
        <v>1590.9684914434599</v>
      </c>
      <c r="F321">
        <v>5166.57663514665</v>
      </c>
      <c r="G321">
        <v>5592.4427713693203</v>
      </c>
      <c r="H321">
        <v>-3546.9504796916799</v>
      </c>
      <c r="I321">
        <v>20954.7493873196</v>
      </c>
      <c r="J321">
        <v>-8517.6998334276195</v>
      </c>
      <c r="K321">
        <v>-2280.0434087673402</v>
      </c>
      <c r="L321">
        <v>-7691.3456381587703</v>
      </c>
      <c r="M321">
        <v>4772.9262542419701</v>
      </c>
      <c r="N321">
        <v>-3519.5210999999999</v>
      </c>
      <c r="O321">
        <v>21455.726863825101</v>
      </c>
      <c r="P321">
        <v>-9630.8010045893607</v>
      </c>
      <c r="Q321">
        <v>-3920</v>
      </c>
      <c r="R321">
        <v>-6373.81807359917</v>
      </c>
      <c r="S321">
        <v>-7760.7025999110601</v>
      </c>
      <c r="T321">
        <v>-2544</v>
      </c>
      <c r="U321">
        <v>-753.57409524546097</v>
      </c>
      <c r="V321">
        <v>-11625</v>
      </c>
      <c r="W321">
        <v>-12734.2121996146</v>
      </c>
      <c r="X321">
        <v>-832</v>
      </c>
      <c r="Y321">
        <v>-3344</v>
      </c>
      <c r="Z321">
        <v>-6102</v>
      </c>
      <c r="AA321">
        <v>-9737.4999999999509</v>
      </c>
      <c r="AB321">
        <v>54.348748722864499</v>
      </c>
      <c r="AC321">
        <v>-3066</v>
      </c>
      <c r="AD321">
        <v>0</v>
      </c>
      <c r="AE321">
        <v>116</v>
      </c>
      <c r="AF321">
        <v>-3472</v>
      </c>
      <c r="AG321">
        <v>-8918</v>
      </c>
      <c r="AH321">
        <v>-17605.598501693799</v>
      </c>
      <c r="AI321">
        <v>202</v>
      </c>
      <c r="AJ321">
        <v>-432</v>
      </c>
      <c r="AK321">
        <v>3954.0092765302102</v>
      </c>
      <c r="AL321">
        <v>-980.16737286791795</v>
      </c>
      <c r="AM321">
        <v>-1452</v>
      </c>
      <c r="AN321">
        <v>-748</v>
      </c>
      <c r="AP321">
        <v>0</v>
      </c>
      <c r="AQ321">
        <v>-6258.4245144370898</v>
      </c>
      <c r="AR321">
        <v>855</v>
      </c>
      <c r="AS321">
        <v>-4998</v>
      </c>
      <c r="AT321">
        <v>-5760</v>
      </c>
      <c r="AU321">
        <v>-1702.27035942982</v>
      </c>
      <c r="AV321">
        <v>4158</v>
      </c>
      <c r="AW321">
        <v>-2421.57117369753</v>
      </c>
      <c r="AX321">
        <v>18161.732959627501</v>
      </c>
      <c r="AY321">
        <v>0</v>
      </c>
      <c r="AZ321">
        <v>2182.9492710005702</v>
      </c>
      <c r="BA321">
        <v>4573.9962000000196</v>
      </c>
      <c r="BB321">
        <v>-6162</v>
      </c>
      <c r="BC321">
        <v>-2053.6878867403698</v>
      </c>
      <c r="BD321">
        <v>-5928</v>
      </c>
      <c r="BE321">
        <f t="shared" si="8"/>
        <v>-84587.46138264428</v>
      </c>
      <c r="BF321">
        <f t="shared" si="9"/>
        <v>52253250.307156362</v>
      </c>
    </row>
    <row r="322" spans="1:58" x14ac:dyDescent="0.2">
      <c r="A322" s="1">
        <v>45636</v>
      </c>
      <c r="B322">
        <v>8294</v>
      </c>
      <c r="C322">
        <v>8745</v>
      </c>
      <c r="D322">
        <v>8124</v>
      </c>
      <c r="E322">
        <v>5044</v>
      </c>
      <c r="F322">
        <v>-6389.3344919003803</v>
      </c>
      <c r="G322">
        <v>166.111745174715</v>
      </c>
      <c r="H322">
        <v>-2402.3437791597898</v>
      </c>
      <c r="I322">
        <v>-5939.1991508573001</v>
      </c>
      <c r="J322">
        <v>7174</v>
      </c>
      <c r="K322">
        <v>6106</v>
      </c>
      <c r="L322">
        <v>9758</v>
      </c>
      <c r="M322">
        <v>-16.735842021783402</v>
      </c>
      <c r="N322">
        <v>-1372.0167000000099</v>
      </c>
      <c r="O322">
        <v>-151.715048233055</v>
      </c>
      <c r="P322">
        <v>19895</v>
      </c>
      <c r="Q322">
        <v>5880</v>
      </c>
      <c r="R322">
        <v>8787</v>
      </c>
      <c r="S322">
        <v>7553</v>
      </c>
      <c r="T322">
        <v>4576</v>
      </c>
      <c r="U322">
        <v>2842.4358226946802</v>
      </c>
      <c r="V322">
        <v>18300</v>
      </c>
      <c r="W322">
        <v>12012</v>
      </c>
      <c r="X322">
        <v>1904</v>
      </c>
      <c r="Y322">
        <v>9878</v>
      </c>
      <c r="Z322">
        <v>7910</v>
      </c>
      <c r="AA322">
        <v>15174.9999999999</v>
      </c>
      <c r="AB322">
        <v>-139.08713303874501</v>
      </c>
      <c r="AC322">
        <v>15253</v>
      </c>
      <c r="AD322">
        <v>0</v>
      </c>
      <c r="AE322">
        <v>194</v>
      </c>
      <c r="AF322">
        <v>6328</v>
      </c>
      <c r="AG322">
        <v>1608</v>
      </c>
      <c r="AH322">
        <v>3341.5282411568901</v>
      </c>
      <c r="AI322">
        <v>-808</v>
      </c>
      <c r="AJ322">
        <v>11016</v>
      </c>
      <c r="AK322">
        <v>6934.649625</v>
      </c>
      <c r="AL322">
        <v>6502.3588982102101</v>
      </c>
      <c r="AM322">
        <v>15180</v>
      </c>
      <c r="AN322">
        <v>15400</v>
      </c>
      <c r="AP322">
        <v>420</v>
      </c>
      <c r="AQ322">
        <v>4317.6397528651596</v>
      </c>
      <c r="AR322">
        <v>4788</v>
      </c>
      <c r="AS322">
        <v>9979</v>
      </c>
      <c r="AT322">
        <v>10752</v>
      </c>
      <c r="AU322">
        <v>1253.81675627198</v>
      </c>
      <c r="AV322">
        <v>-909.47073921470997</v>
      </c>
      <c r="AW322">
        <v>6800</v>
      </c>
      <c r="AX322">
        <v>-2402.1438285293302</v>
      </c>
      <c r="AY322">
        <v>0</v>
      </c>
      <c r="AZ322">
        <v>1934.57772000001</v>
      </c>
      <c r="BA322">
        <v>3937.6141200000302</v>
      </c>
      <c r="BB322">
        <v>11700</v>
      </c>
      <c r="BC322">
        <v>10196.315018097899</v>
      </c>
      <c r="BD322">
        <v>5005.21198267399</v>
      </c>
      <c r="BE322">
        <f t="shared" si="8"/>
        <v>300435.21296919032</v>
      </c>
      <c r="BF322">
        <f t="shared" si="9"/>
        <v>52553685.520125553</v>
      </c>
    </row>
    <row r="323" spans="1:58" x14ac:dyDescent="0.2">
      <c r="A323" s="1">
        <v>45637</v>
      </c>
      <c r="B323">
        <v>-923.84439600189103</v>
      </c>
      <c r="C323">
        <v>3465</v>
      </c>
      <c r="D323">
        <v>2031</v>
      </c>
      <c r="E323">
        <v>2716</v>
      </c>
      <c r="F323">
        <v>1152</v>
      </c>
      <c r="G323">
        <v>-716.82541102750497</v>
      </c>
      <c r="H323">
        <v>818.41993718161405</v>
      </c>
      <c r="I323">
        <v>8712.5593816341898</v>
      </c>
      <c r="J323">
        <v>4794</v>
      </c>
      <c r="K323">
        <v>1756.25642634874</v>
      </c>
      <c r="L323">
        <v>3271.70050207845</v>
      </c>
      <c r="M323">
        <v>0</v>
      </c>
      <c r="N323">
        <v>-3706.72106999997</v>
      </c>
      <c r="O323">
        <v>5518.4363332448502</v>
      </c>
      <c r="P323">
        <v>5290</v>
      </c>
      <c r="Q323">
        <v>2520</v>
      </c>
      <c r="R323">
        <v>2118.4829563154199</v>
      </c>
      <c r="S323">
        <v>7553</v>
      </c>
      <c r="T323">
        <v>2640</v>
      </c>
      <c r="U323">
        <v>450</v>
      </c>
      <c r="V323">
        <v>4950</v>
      </c>
      <c r="W323">
        <v>3484</v>
      </c>
      <c r="X323">
        <v>1952</v>
      </c>
      <c r="Y323">
        <v>9988</v>
      </c>
      <c r="Z323">
        <v>2712</v>
      </c>
      <c r="AA323">
        <v>4375</v>
      </c>
      <c r="AB323">
        <v>483.70019323515402</v>
      </c>
      <c r="AC323">
        <v>9408</v>
      </c>
      <c r="AD323">
        <v>2183</v>
      </c>
      <c r="AE323">
        <v>7.1806694038486798</v>
      </c>
      <c r="AF323">
        <v>2800</v>
      </c>
      <c r="AG323">
        <v>-4932</v>
      </c>
      <c r="AH323">
        <v>-2041.0664223997401</v>
      </c>
      <c r="AI323">
        <v>2424</v>
      </c>
      <c r="AJ323">
        <v>5832</v>
      </c>
      <c r="AK323">
        <v>9614.6183249999995</v>
      </c>
      <c r="AL323">
        <v>3266.1579197758902</v>
      </c>
      <c r="AM323">
        <v>1034</v>
      </c>
      <c r="AN323">
        <v>374</v>
      </c>
      <c r="AP323">
        <v>-252</v>
      </c>
      <c r="AQ323">
        <v>9120</v>
      </c>
      <c r="AR323">
        <v>1368</v>
      </c>
      <c r="AS323">
        <v>3026</v>
      </c>
      <c r="AT323">
        <v>3840</v>
      </c>
      <c r="AU323">
        <v>280</v>
      </c>
      <c r="AV323">
        <v>1942.4742814742201</v>
      </c>
      <c r="AW323">
        <v>2097.5189717633002</v>
      </c>
      <c r="AX323">
        <v>9396</v>
      </c>
      <c r="AY323">
        <v>0</v>
      </c>
      <c r="AZ323">
        <v>4371.7725900000796</v>
      </c>
      <c r="BA323">
        <v>1034.8197599999601</v>
      </c>
      <c r="BB323">
        <v>2886</v>
      </c>
      <c r="BC323">
        <v>2639</v>
      </c>
      <c r="BD323">
        <v>4104</v>
      </c>
      <c r="BE323">
        <f t="shared" ref="BE323:BE368" si="10">SUM(B323:BD323)</f>
        <v>153227.64094802659</v>
      </c>
      <c r="BF323">
        <f t="shared" ref="BF323:BF368" si="11">BF322+BE323</f>
        <v>52706913.16107358</v>
      </c>
    </row>
    <row r="324" spans="1:58" x14ac:dyDescent="0.2">
      <c r="A324" s="1">
        <v>45638</v>
      </c>
      <c r="B324">
        <v>1946.0779341126799</v>
      </c>
      <c r="C324">
        <v>880</v>
      </c>
      <c r="D324">
        <v>6093</v>
      </c>
      <c r="E324">
        <v>4559</v>
      </c>
      <c r="F324">
        <v>1280</v>
      </c>
      <c r="G324">
        <v>664.99999999999204</v>
      </c>
      <c r="H324">
        <v>6610.4431467306003</v>
      </c>
      <c r="I324">
        <v>-2463</v>
      </c>
      <c r="J324">
        <v>2822</v>
      </c>
      <c r="K324">
        <v>5120.4251017775996</v>
      </c>
      <c r="L324">
        <v>3986.5519147743298</v>
      </c>
      <c r="M324">
        <v>0</v>
      </c>
      <c r="N324">
        <v>4741.5357599999998</v>
      </c>
      <c r="O324">
        <v>2780.99999999999</v>
      </c>
      <c r="P324">
        <v>5290</v>
      </c>
      <c r="Q324">
        <v>-1150.14229803173</v>
      </c>
      <c r="R324">
        <v>7238.1292405554796</v>
      </c>
      <c r="S324">
        <v>3450.2725860546502</v>
      </c>
      <c r="T324">
        <v>5168</v>
      </c>
      <c r="U324">
        <v>990</v>
      </c>
      <c r="V324">
        <v>6150</v>
      </c>
      <c r="W324">
        <v>5668</v>
      </c>
      <c r="X324">
        <v>544</v>
      </c>
      <c r="Y324">
        <v>-3857.8433696369798</v>
      </c>
      <c r="Z324">
        <v>226</v>
      </c>
      <c r="AA324">
        <v>4924.99999999995</v>
      </c>
      <c r="AB324">
        <v>93.669214388237506</v>
      </c>
      <c r="AC324">
        <v>7784</v>
      </c>
      <c r="AD324">
        <v>814</v>
      </c>
      <c r="AE324">
        <v>-1012.50704984433</v>
      </c>
      <c r="AF324">
        <v>4200</v>
      </c>
      <c r="AG324">
        <v>4556</v>
      </c>
      <c r="AH324">
        <v>1351.7166427563</v>
      </c>
      <c r="AI324">
        <v>5440.3720445366598</v>
      </c>
      <c r="AJ324">
        <v>8640</v>
      </c>
      <c r="AK324">
        <v>675.21870000000001</v>
      </c>
      <c r="AL324">
        <v>4862.7869404370904</v>
      </c>
      <c r="AM324">
        <v>2662</v>
      </c>
      <c r="AN324">
        <v>3300</v>
      </c>
      <c r="AP324">
        <v>224</v>
      </c>
      <c r="AQ324">
        <v>1520</v>
      </c>
      <c r="AR324">
        <v>1188.6999185557399</v>
      </c>
      <c r="AS324">
        <v>1571.3742914044201</v>
      </c>
      <c r="AT324">
        <v>1086.7510827180699</v>
      </c>
      <c r="AU324">
        <v>1400</v>
      </c>
      <c r="AV324">
        <v>-411.034498230407</v>
      </c>
      <c r="AW324">
        <v>2068.411669567</v>
      </c>
      <c r="AX324">
        <v>-3404</v>
      </c>
      <c r="AY324">
        <v>0</v>
      </c>
      <c r="AZ324">
        <v>3637.6822007433002</v>
      </c>
      <c r="BA324">
        <v>633.86879999998598</v>
      </c>
      <c r="BB324">
        <v>858</v>
      </c>
      <c r="BC324">
        <v>11368</v>
      </c>
      <c r="BD324">
        <v>1800</v>
      </c>
      <c r="BE324">
        <f t="shared" si="10"/>
        <v>140572.45997336862</v>
      </c>
      <c r="BF324">
        <f t="shared" si="11"/>
        <v>52847485.621046945</v>
      </c>
    </row>
    <row r="325" spans="1:58" x14ac:dyDescent="0.2">
      <c r="A325" s="1">
        <v>45639</v>
      </c>
      <c r="B325">
        <v>-1393.8495195140999</v>
      </c>
      <c r="C325">
        <v>2461.2718622319699</v>
      </c>
      <c r="D325">
        <v>4062</v>
      </c>
      <c r="E325">
        <v>-2619</v>
      </c>
      <c r="F325">
        <v>2880</v>
      </c>
      <c r="G325">
        <v>-27.999999999996898</v>
      </c>
      <c r="H325">
        <v>-277.57235293021398</v>
      </c>
      <c r="I325">
        <v>402</v>
      </c>
      <c r="J325">
        <v>-449.303657434755</v>
      </c>
      <c r="K325">
        <v>-3262.4184741275399</v>
      </c>
      <c r="L325">
        <v>1371.7013024155201</v>
      </c>
      <c r="M325">
        <v>0</v>
      </c>
      <c r="N325">
        <v>2075.74106999999</v>
      </c>
      <c r="O325">
        <v>-4482.00000000001</v>
      </c>
      <c r="P325">
        <v>3973.3737386541602</v>
      </c>
      <c r="Q325">
        <v>2469.9624586289301</v>
      </c>
      <c r="R325">
        <v>281.725873926649</v>
      </c>
      <c r="S325">
        <v>1773.38465345399</v>
      </c>
      <c r="T325">
        <v>173.64317398481299</v>
      </c>
      <c r="U325">
        <v>870</v>
      </c>
      <c r="V325">
        <v>-1500</v>
      </c>
      <c r="W325">
        <v>884</v>
      </c>
      <c r="X325">
        <v>1376</v>
      </c>
      <c r="Y325">
        <v>-7252.8606501976101</v>
      </c>
      <c r="Z325">
        <v>3616</v>
      </c>
      <c r="AA325">
        <v>-941.94519227164903</v>
      </c>
      <c r="AB325">
        <v>-435.25039833939201</v>
      </c>
      <c r="AC325">
        <v>3864.3324073972299</v>
      </c>
      <c r="AD325">
        <v>2035</v>
      </c>
      <c r="AE325">
        <v>-2880</v>
      </c>
      <c r="AF325">
        <v>499.25630549199201</v>
      </c>
      <c r="AG325">
        <v>-3278</v>
      </c>
      <c r="AH325">
        <v>-5445.5243628691596</v>
      </c>
      <c r="AI325">
        <v>5900.5593100940996</v>
      </c>
      <c r="AJ325">
        <v>1296</v>
      </c>
      <c r="AK325">
        <v>-464.71814999999998</v>
      </c>
      <c r="AL325">
        <v>4158.8776442814697</v>
      </c>
      <c r="AM325">
        <v>1276</v>
      </c>
      <c r="AN325">
        <v>682</v>
      </c>
      <c r="AP325">
        <v>238</v>
      </c>
      <c r="AQ325">
        <v>-3600</v>
      </c>
      <c r="AR325">
        <v>-530.30146497557996</v>
      </c>
      <c r="AS325">
        <v>2673.3730785961402</v>
      </c>
      <c r="AT325">
        <v>4308.08278201347</v>
      </c>
      <c r="AU325">
        <v>-614.53158310066499</v>
      </c>
      <c r="AV325">
        <v>-139.023623130272</v>
      </c>
      <c r="AW325">
        <v>5268.5527666115604</v>
      </c>
      <c r="AX325">
        <v>-192</v>
      </c>
      <c r="AY325">
        <v>0</v>
      </c>
      <c r="AZ325">
        <v>6207.8848167958604</v>
      </c>
      <c r="BA325">
        <v>4653.99595419875</v>
      </c>
      <c r="BB325">
        <v>-2340</v>
      </c>
      <c r="BC325">
        <v>3045</v>
      </c>
      <c r="BD325">
        <v>504</v>
      </c>
      <c r="BE325">
        <f t="shared" si="10"/>
        <v>33155.419769885651</v>
      </c>
      <c r="BF325">
        <f t="shared" si="11"/>
        <v>52880641.040816829</v>
      </c>
    </row>
    <row r="326" spans="1:58" x14ac:dyDescent="0.2">
      <c r="A326" s="1">
        <v>45642</v>
      </c>
      <c r="B326">
        <v>7290</v>
      </c>
      <c r="C326">
        <v>9883.5706571308892</v>
      </c>
      <c r="D326">
        <v>4024.1087622201399</v>
      </c>
      <c r="E326">
        <v>12707</v>
      </c>
      <c r="F326">
        <v>-3597.4695890002499</v>
      </c>
      <c r="G326">
        <v>173.541632695869</v>
      </c>
      <c r="H326">
        <v>-3585.3374050861798</v>
      </c>
      <c r="I326">
        <v>945</v>
      </c>
      <c r="J326">
        <v>6296.3509107351501</v>
      </c>
      <c r="K326">
        <v>4675</v>
      </c>
      <c r="L326">
        <v>20051.494389921401</v>
      </c>
      <c r="M326">
        <v>-2.0247789123945701</v>
      </c>
      <c r="N326">
        <v>744.69959999998105</v>
      </c>
      <c r="O326">
        <v>756.00000000001205</v>
      </c>
      <c r="P326">
        <v>5991.5405398129797</v>
      </c>
      <c r="Q326">
        <v>19499.676332834599</v>
      </c>
      <c r="R326">
        <v>10307.2362398645</v>
      </c>
      <c r="S326">
        <v>10036.735095436399</v>
      </c>
      <c r="T326">
        <v>16929</v>
      </c>
      <c r="U326">
        <v>3600</v>
      </c>
      <c r="V326">
        <v>22125</v>
      </c>
      <c r="W326">
        <v>11193.682548283199</v>
      </c>
      <c r="X326">
        <v>2528</v>
      </c>
      <c r="Y326">
        <v>17184</v>
      </c>
      <c r="Z326">
        <v>9233.1079271834205</v>
      </c>
      <c r="AA326">
        <v>18208.530294327698</v>
      </c>
      <c r="AB326">
        <v>-423.94883637755999</v>
      </c>
      <c r="AC326">
        <v>14768</v>
      </c>
      <c r="AD326">
        <v>3938.1105628526202</v>
      </c>
      <c r="AE326">
        <v>975</v>
      </c>
      <c r="AF326">
        <v>10763.5313870673</v>
      </c>
      <c r="AG326">
        <v>6043.6384002739796</v>
      </c>
      <c r="AH326">
        <v>17663.592833439299</v>
      </c>
      <c r="AI326">
        <v>14245.8571343112</v>
      </c>
      <c r="AJ326">
        <v>16416</v>
      </c>
      <c r="AK326">
        <v>10006.900874999999</v>
      </c>
      <c r="AL326">
        <v>9987.8750397171698</v>
      </c>
      <c r="AM326">
        <v>10406</v>
      </c>
      <c r="AN326">
        <v>11616</v>
      </c>
      <c r="AP326">
        <v>68.084466010398998</v>
      </c>
      <c r="AQ326">
        <v>12800</v>
      </c>
      <c r="AR326">
        <v>9375.4604353672494</v>
      </c>
      <c r="AS326">
        <v>5836.9195875076102</v>
      </c>
      <c r="AT326">
        <v>14788.5349941599</v>
      </c>
      <c r="AU326">
        <v>-327.26602284570799</v>
      </c>
      <c r="AV326">
        <v>6854.7159106648496</v>
      </c>
      <c r="AW326">
        <v>13534.865906492099</v>
      </c>
      <c r="AX326">
        <v>-40</v>
      </c>
      <c r="AY326">
        <v>0</v>
      </c>
      <c r="AZ326">
        <v>-7651.7657795594496</v>
      </c>
      <c r="BA326">
        <v>4235.0883206484305</v>
      </c>
      <c r="BB326">
        <v>9360</v>
      </c>
      <c r="BC326">
        <v>14210</v>
      </c>
      <c r="BD326">
        <v>6544.0760358145499</v>
      </c>
      <c r="BE326">
        <f t="shared" si="10"/>
        <v>423193.71440799139</v>
      </c>
      <c r="BF326">
        <f t="shared" si="11"/>
        <v>53303834.755224817</v>
      </c>
    </row>
    <row r="327" spans="1:58" x14ac:dyDescent="0.2">
      <c r="A327" s="1">
        <v>45643</v>
      </c>
      <c r="B327">
        <v>93.183928980283397</v>
      </c>
      <c r="C327">
        <v>544.33351540395495</v>
      </c>
      <c r="D327">
        <v>-5712.1549340088604</v>
      </c>
      <c r="E327">
        <v>-2619</v>
      </c>
      <c r="F327">
        <v>5075</v>
      </c>
      <c r="G327">
        <v>-1753.46848111694</v>
      </c>
      <c r="H327">
        <v>-1846.11551020964</v>
      </c>
      <c r="I327">
        <v>3564</v>
      </c>
      <c r="J327">
        <v>1694.71387559907</v>
      </c>
      <c r="K327">
        <v>-971.79446987244501</v>
      </c>
      <c r="L327">
        <v>12189</v>
      </c>
      <c r="M327">
        <v>9.1576470413339894</v>
      </c>
      <c r="N327">
        <v>1841.0629000000099</v>
      </c>
      <c r="O327">
        <v>1592.99999999998</v>
      </c>
      <c r="P327">
        <v>12547.484342142099</v>
      </c>
      <c r="Q327">
        <v>-3400</v>
      </c>
      <c r="R327">
        <v>9746.3109430179593</v>
      </c>
      <c r="S327">
        <v>1392.1613275913501</v>
      </c>
      <c r="T327">
        <v>-2979</v>
      </c>
      <c r="U327">
        <v>1950</v>
      </c>
      <c r="V327">
        <v>2025</v>
      </c>
      <c r="W327">
        <v>7652.8373760442701</v>
      </c>
      <c r="X327">
        <v>832</v>
      </c>
      <c r="Y327">
        <v>4536</v>
      </c>
      <c r="Z327">
        <v>-4005.91225595376</v>
      </c>
      <c r="AA327">
        <v>2700</v>
      </c>
      <c r="AB327">
        <v>-827.85772199999701</v>
      </c>
      <c r="AC327">
        <v>2520</v>
      </c>
      <c r="AD327">
        <v>2659.6655434192899</v>
      </c>
      <c r="AE327">
        <v>255</v>
      </c>
      <c r="AF327">
        <v>408.26628479017899</v>
      </c>
      <c r="AG327">
        <v>-1528</v>
      </c>
      <c r="AH327">
        <v>-1383.1202879892401</v>
      </c>
      <c r="AI327">
        <v>1021.95390492146</v>
      </c>
      <c r="AJ327">
        <v>3240</v>
      </c>
      <c r="AK327">
        <v>4654.3724999999904</v>
      </c>
      <c r="AL327">
        <v>6847.9319666238898</v>
      </c>
      <c r="AM327">
        <v>-242</v>
      </c>
      <c r="AN327">
        <v>-154</v>
      </c>
      <c r="AP327">
        <v>-243.831526084053</v>
      </c>
      <c r="AQ327">
        <v>-1760</v>
      </c>
      <c r="AR327">
        <v>-911.612103617196</v>
      </c>
      <c r="AS327">
        <v>13287.4618191442</v>
      </c>
      <c r="AT327">
        <v>-3444.66226926839</v>
      </c>
      <c r="AU327">
        <v>2046</v>
      </c>
      <c r="AV327">
        <v>-329.66287511534398</v>
      </c>
      <c r="AW327">
        <v>-2766.1394534893402</v>
      </c>
      <c r="AX327">
        <v>4284</v>
      </c>
      <c r="AY327">
        <v>0</v>
      </c>
      <c r="AZ327">
        <v>12191.4282799999</v>
      </c>
      <c r="BA327">
        <v>-2935.46093336172</v>
      </c>
      <c r="BB327">
        <v>2652</v>
      </c>
      <c r="BC327">
        <v>-406</v>
      </c>
      <c r="BD327">
        <v>1786.9010137390201</v>
      </c>
      <c r="BE327">
        <f t="shared" si="10"/>
        <v>87620.434346371316</v>
      </c>
      <c r="BF327">
        <f t="shared" si="11"/>
        <v>53391455.189571187</v>
      </c>
    </row>
    <row r="328" spans="1:58" x14ac:dyDescent="0.2">
      <c r="A328" s="1">
        <v>45644</v>
      </c>
      <c r="B328">
        <v>-6989</v>
      </c>
      <c r="C328">
        <v>-3419.33388736702</v>
      </c>
      <c r="D328">
        <v>-7440</v>
      </c>
      <c r="E328">
        <v>-2231</v>
      </c>
      <c r="F328">
        <v>9668.6256656670394</v>
      </c>
      <c r="G328">
        <v>-729.00000000001103</v>
      </c>
      <c r="H328">
        <v>-1840.0346909934999</v>
      </c>
      <c r="I328">
        <v>-114</v>
      </c>
      <c r="J328">
        <v>-6165.6511700500596</v>
      </c>
      <c r="K328">
        <v>-1404.2210072223199</v>
      </c>
      <c r="L328">
        <v>2847.6571750815701</v>
      </c>
      <c r="M328">
        <v>8.6368732713435392</v>
      </c>
      <c r="N328">
        <v>-10.291249999990599</v>
      </c>
      <c r="O328">
        <v>1188.00000000001</v>
      </c>
      <c r="P328">
        <v>4939.2389019602697</v>
      </c>
      <c r="Q328">
        <v>-11220</v>
      </c>
      <c r="R328">
        <v>2951.3103342948598</v>
      </c>
      <c r="S328">
        <v>-5939.2879977525799</v>
      </c>
      <c r="T328">
        <v>-2142</v>
      </c>
      <c r="U328">
        <v>-3185.4990766379801</v>
      </c>
      <c r="V328">
        <v>-6300</v>
      </c>
      <c r="W328">
        <v>-12054.2320657335</v>
      </c>
      <c r="X328">
        <v>-2144</v>
      </c>
      <c r="Y328">
        <v>-7008</v>
      </c>
      <c r="Z328">
        <v>-238</v>
      </c>
      <c r="AA328">
        <v>-5773.4334950429602</v>
      </c>
      <c r="AB328">
        <v>1342.08191249999</v>
      </c>
      <c r="AC328">
        <v>-3486.8057198791298</v>
      </c>
      <c r="AD328">
        <v>567.11242557903495</v>
      </c>
      <c r="AE328">
        <v>-2430</v>
      </c>
      <c r="AF328">
        <v>-1869.4713004949199</v>
      </c>
      <c r="AG328">
        <v>-3756</v>
      </c>
      <c r="AH328">
        <v>3325</v>
      </c>
      <c r="AI328">
        <v>-22254.754981238999</v>
      </c>
      <c r="AJ328">
        <v>-864</v>
      </c>
      <c r="AK328">
        <v>-5325.7218749999902</v>
      </c>
      <c r="AL328">
        <v>1912.35075111325</v>
      </c>
      <c r="AM328">
        <v>-3894</v>
      </c>
      <c r="AN328">
        <v>-3432</v>
      </c>
      <c r="AP328">
        <v>544</v>
      </c>
      <c r="AQ328">
        <v>8560</v>
      </c>
      <c r="AR328">
        <v>-745.53935851062204</v>
      </c>
      <c r="AS328">
        <v>-5460.5135925244103</v>
      </c>
      <c r="AT328">
        <v>431</v>
      </c>
      <c r="AU328">
        <v>1194.0939650566499</v>
      </c>
      <c r="AV328">
        <v>-401.54782472376797</v>
      </c>
      <c r="AW328">
        <v>-34137.249636979002</v>
      </c>
      <c r="AX328">
        <v>1156</v>
      </c>
      <c r="AY328">
        <v>0</v>
      </c>
      <c r="AZ328">
        <v>-6257.0333252942301</v>
      </c>
      <c r="BA328">
        <v>1204.5165874020499</v>
      </c>
      <c r="BB328">
        <v>-5460</v>
      </c>
      <c r="BC328">
        <v>-3857</v>
      </c>
      <c r="BD328">
        <v>-1775.6345071554699</v>
      </c>
      <c r="BE328">
        <f t="shared" si="10"/>
        <v>-149914.63217067442</v>
      </c>
      <c r="BF328">
        <f t="shared" si="11"/>
        <v>53241540.55740051</v>
      </c>
    </row>
    <row r="329" spans="1:58" x14ac:dyDescent="0.2">
      <c r="A329" s="1">
        <v>45645</v>
      </c>
      <c r="B329">
        <v>-2929</v>
      </c>
      <c r="C329">
        <v>-3264</v>
      </c>
      <c r="D329">
        <v>-4464</v>
      </c>
      <c r="E329">
        <v>-7469</v>
      </c>
      <c r="F329">
        <v>4135.253361258</v>
      </c>
      <c r="G329">
        <v>-242.99999999999301</v>
      </c>
      <c r="H329">
        <v>-35796.989759999997</v>
      </c>
      <c r="I329">
        <v>-4008</v>
      </c>
      <c r="J329">
        <v>2880</v>
      </c>
      <c r="K329">
        <v>-1416</v>
      </c>
      <c r="L329">
        <v>-3824.3369454161302</v>
      </c>
      <c r="M329">
        <v>573.14565169456102</v>
      </c>
      <c r="N329">
        <v>1647.9664</v>
      </c>
      <c r="O329">
        <v>-33776.999999999898</v>
      </c>
      <c r="P329">
        <v>-3172.47516878345</v>
      </c>
      <c r="Q329">
        <v>9520</v>
      </c>
      <c r="R329">
        <v>-13926.280029682999</v>
      </c>
      <c r="S329">
        <v>3850</v>
      </c>
      <c r="T329">
        <v>-6867</v>
      </c>
      <c r="U329">
        <v>-1120</v>
      </c>
      <c r="V329">
        <v>-13575</v>
      </c>
      <c r="W329">
        <v>-8100</v>
      </c>
      <c r="X329">
        <v>768</v>
      </c>
      <c r="Y329">
        <v>-9072</v>
      </c>
      <c r="Z329">
        <v>714</v>
      </c>
      <c r="AA329">
        <v>-13267.5</v>
      </c>
      <c r="AB329">
        <v>746.21978550000301</v>
      </c>
      <c r="AC329">
        <v>-15588</v>
      </c>
      <c r="AD329">
        <v>-14507.399045825699</v>
      </c>
      <c r="AE329">
        <v>-1261.52089626618</v>
      </c>
      <c r="AF329">
        <v>-2608.73413692959</v>
      </c>
      <c r="AG329">
        <v>4883</v>
      </c>
      <c r="AH329">
        <v>2394</v>
      </c>
      <c r="AI329">
        <v>-5463.6268510674699</v>
      </c>
      <c r="AJ329">
        <v>-2.29435846610677</v>
      </c>
      <c r="AK329">
        <v>-7647.594075</v>
      </c>
      <c r="AL329">
        <v>-7336.1044063314203</v>
      </c>
      <c r="AM329">
        <v>-4752</v>
      </c>
      <c r="AN329">
        <v>-3366</v>
      </c>
      <c r="AP329">
        <v>608.16881111515499</v>
      </c>
      <c r="AQ329">
        <v>-2160</v>
      </c>
      <c r="AR329">
        <v>5598.9226538907997</v>
      </c>
      <c r="AS329">
        <v>-9430</v>
      </c>
      <c r="AT329">
        <v>-16855.676736085599</v>
      </c>
      <c r="AU329">
        <v>2843.24369129461</v>
      </c>
      <c r="AV329">
        <v>-33420.3481853376</v>
      </c>
      <c r="AW329">
        <v>-6140.95259896059</v>
      </c>
      <c r="AX329">
        <v>-3516</v>
      </c>
      <c r="AY329">
        <v>0</v>
      </c>
      <c r="AZ329">
        <v>9158.9412599999596</v>
      </c>
      <c r="BA329">
        <v>20044.829825736899</v>
      </c>
      <c r="BB329">
        <v>-1716</v>
      </c>
      <c r="BC329">
        <v>-1421</v>
      </c>
      <c r="BD329">
        <v>-5686.4648461813804</v>
      </c>
      <c r="BE329">
        <f t="shared" si="10"/>
        <v>-238805.60659984418</v>
      </c>
      <c r="BF329">
        <f t="shared" si="11"/>
        <v>53002734.950800665</v>
      </c>
    </row>
    <row r="330" spans="1:58" x14ac:dyDescent="0.2">
      <c r="A330" s="1">
        <v>45646</v>
      </c>
      <c r="B330">
        <v>-50808</v>
      </c>
      <c r="C330">
        <v>-27948</v>
      </c>
      <c r="D330">
        <v>-29016</v>
      </c>
      <c r="E330">
        <v>-28227</v>
      </c>
      <c r="F330">
        <v>49456.150949189403</v>
      </c>
      <c r="G330">
        <v>44.999999999990997</v>
      </c>
      <c r="H330">
        <v>-8724.0071542113201</v>
      </c>
      <c r="I330">
        <v>1824</v>
      </c>
      <c r="J330">
        <v>-16960</v>
      </c>
      <c r="K330">
        <v>-24190</v>
      </c>
      <c r="L330">
        <v>-49229.2831962579</v>
      </c>
      <c r="M330">
        <v>-962.104218409993</v>
      </c>
      <c r="N330">
        <v>-4522.1571999999996</v>
      </c>
      <c r="O330">
        <v>34371.808473359102</v>
      </c>
      <c r="P330">
        <v>-58837.519722112404</v>
      </c>
      <c r="Q330">
        <v>-18700</v>
      </c>
      <c r="R330">
        <v>-42586</v>
      </c>
      <c r="S330">
        <v>-72389.672009864502</v>
      </c>
      <c r="T330">
        <v>-33615</v>
      </c>
      <c r="U330">
        <v>-12256</v>
      </c>
      <c r="V330">
        <v>-70425</v>
      </c>
      <c r="W330">
        <v>-29190</v>
      </c>
      <c r="X330">
        <v>-18352</v>
      </c>
      <c r="Y330">
        <v>-71976</v>
      </c>
      <c r="Z330">
        <v>-25942</v>
      </c>
      <c r="AA330">
        <v>-67613.5</v>
      </c>
      <c r="AB330">
        <v>471.57557570716102</v>
      </c>
      <c r="AC330">
        <v>-79173</v>
      </c>
      <c r="AD330">
        <v>7238</v>
      </c>
      <c r="AE330">
        <v>-754.74134830776495</v>
      </c>
      <c r="AF330">
        <v>-44982</v>
      </c>
      <c r="AG330">
        <v>-2469</v>
      </c>
      <c r="AH330">
        <v>-29260</v>
      </c>
      <c r="AI330">
        <v>-143004.05302329999</v>
      </c>
      <c r="AJ330">
        <v>-20405.006379503098</v>
      </c>
      <c r="AK330">
        <v>-30293.314425</v>
      </c>
      <c r="AL330">
        <v>-32724</v>
      </c>
      <c r="AM330">
        <v>-62084</v>
      </c>
      <c r="AN330">
        <v>-62326</v>
      </c>
      <c r="AO330">
        <v>0</v>
      </c>
      <c r="AP330">
        <v>-427.57883041367802</v>
      </c>
      <c r="AQ330">
        <v>-26560</v>
      </c>
      <c r="AR330">
        <v>-27321.466417025898</v>
      </c>
      <c r="AS330">
        <v>-31418</v>
      </c>
      <c r="AT330">
        <v>-28665</v>
      </c>
      <c r="AU330">
        <v>-20803.076577040101</v>
      </c>
      <c r="AV330">
        <v>-1683.00413138253</v>
      </c>
      <c r="AW330">
        <v>-37114.061508054299</v>
      </c>
      <c r="AX330">
        <v>2076</v>
      </c>
      <c r="AY330">
        <v>82716.760320000103</v>
      </c>
      <c r="AZ330">
        <v>-10171.0851322652</v>
      </c>
      <c r="BA330">
        <v>-5662.2542900000699</v>
      </c>
      <c r="BB330">
        <v>-27534</v>
      </c>
      <c r="BC330">
        <v>-33901</v>
      </c>
      <c r="BD330">
        <v>-27270</v>
      </c>
      <c r="BE330">
        <f t="shared" si="10"/>
        <v>-1370275.5902448935</v>
      </c>
      <c r="BF330">
        <f t="shared" si="11"/>
        <v>51632459.360555768</v>
      </c>
    </row>
    <row r="331" spans="1:58" x14ac:dyDescent="0.2">
      <c r="A331" s="1">
        <v>45649</v>
      </c>
      <c r="B331">
        <v>-24772.642256391999</v>
      </c>
      <c r="C331">
        <v>-12172.3740349584</v>
      </c>
      <c r="D331">
        <v>-3158.3960341892198</v>
      </c>
      <c r="E331">
        <v>5791.8324746550297</v>
      </c>
      <c r="F331">
        <v>47241.657830033502</v>
      </c>
      <c r="G331">
        <v>1899</v>
      </c>
      <c r="H331">
        <v>-4827.2690424967304</v>
      </c>
      <c r="I331">
        <v>-4767</v>
      </c>
      <c r="J331">
        <v>-1883.6933386042899</v>
      </c>
      <c r="K331">
        <v>-2133.8020549156699</v>
      </c>
      <c r="L331">
        <v>-21172.266627527799</v>
      </c>
      <c r="M331">
        <v>2015</v>
      </c>
      <c r="N331">
        <v>2210.62607999999</v>
      </c>
      <c r="O331">
        <v>-581.99999999999704</v>
      </c>
      <c r="P331">
        <v>-6782.5482474380296</v>
      </c>
      <c r="Q331">
        <v>-6470.2475773272899</v>
      </c>
      <c r="R331">
        <v>-449.93213496921697</v>
      </c>
      <c r="S331">
        <v>-12305.5364173736</v>
      </c>
      <c r="T331">
        <v>-1069.1918806481301</v>
      </c>
      <c r="U331">
        <v>-3661.1554495382902</v>
      </c>
      <c r="V331">
        <v>-18539.019502729901</v>
      </c>
      <c r="W331">
        <v>742.19005224934995</v>
      </c>
      <c r="X331">
        <v>-2816.4735245289899</v>
      </c>
      <c r="Y331">
        <v>10763.787300599601</v>
      </c>
      <c r="Z331">
        <v>-12741.9748124485</v>
      </c>
      <c r="AA331">
        <v>-17971.994869135</v>
      </c>
      <c r="AB331">
        <v>854.23227790074998</v>
      </c>
      <c r="AC331">
        <v>-36330.207748073197</v>
      </c>
      <c r="AD331">
        <v>-11985</v>
      </c>
      <c r="AE331">
        <v>2131.1688822772899</v>
      </c>
      <c r="AF331">
        <v>-26729.5740303854</v>
      </c>
      <c r="AG331">
        <v>-3900</v>
      </c>
      <c r="AH331">
        <v>12364.591223572001</v>
      </c>
      <c r="AI331">
        <v>-104245.096645293</v>
      </c>
      <c r="AJ331">
        <v>-13640</v>
      </c>
      <c r="AK331">
        <v>-13432.1757187045</v>
      </c>
      <c r="AL331">
        <v>-16752.847416007498</v>
      </c>
      <c r="AM331">
        <v>-16815.651341548401</v>
      </c>
      <c r="AN331">
        <v>-16554.608147615701</v>
      </c>
      <c r="AO331">
        <v>0</v>
      </c>
      <c r="AP331">
        <v>190.08442773809901</v>
      </c>
      <c r="AQ331">
        <v>-17177.408474115</v>
      </c>
      <c r="AR331">
        <v>-1821.9246947430599</v>
      </c>
      <c r="AS331">
        <v>1940.1092742680601</v>
      </c>
      <c r="AT331">
        <v>-8932.4361068013695</v>
      </c>
      <c r="AU331">
        <v>-7193.4490653515404</v>
      </c>
      <c r="AV331">
        <v>18986.069180856899</v>
      </c>
      <c r="AW331">
        <v>1284.9281829594399</v>
      </c>
      <c r="AX331">
        <v>-5156</v>
      </c>
      <c r="AY331">
        <v>-1141.32279646968</v>
      </c>
      <c r="AZ331">
        <v>13204.5490500001</v>
      </c>
      <c r="BA331">
        <v>6371.7569900984699</v>
      </c>
      <c r="BB331">
        <v>-8046.7681580223298</v>
      </c>
      <c r="BC331">
        <v>-14208.142228806801</v>
      </c>
      <c r="BD331">
        <v>-14080.123152813399</v>
      </c>
      <c r="BE331">
        <f t="shared" si="10"/>
        <v>-368428.67030276341</v>
      </c>
      <c r="BF331">
        <f t="shared" si="11"/>
        <v>51264030.690253004</v>
      </c>
    </row>
    <row r="332" spans="1:58" x14ac:dyDescent="0.2">
      <c r="A332" s="1">
        <v>45650</v>
      </c>
      <c r="B332">
        <v>7129.3614108663096</v>
      </c>
      <c r="C332">
        <v>264.45023739283403</v>
      </c>
      <c r="D332">
        <v>9901.6953155596893</v>
      </c>
      <c r="E332">
        <v>51.016573084845703</v>
      </c>
      <c r="F332">
        <v>-3605.2495029287302</v>
      </c>
      <c r="G332">
        <v>891.00000000000102</v>
      </c>
      <c r="H332">
        <v>-3222.7429446032402</v>
      </c>
      <c r="I332">
        <v>-825</v>
      </c>
      <c r="J332">
        <v>-8392.4117757673503</v>
      </c>
      <c r="K332">
        <v>7859.9473586210797</v>
      </c>
      <c r="L332">
        <v>-9177.5644430578996</v>
      </c>
      <c r="M332">
        <v>1096.9800047568899</v>
      </c>
      <c r="N332">
        <v>552.65652000000898</v>
      </c>
      <c r="O332">
        <v>0</v>
      </c>
      <c r="P332">
        <v>7974.6040788475202</v>
      </c>
      <c r="Q332">
        <v>-18841.0675169364</v>
      </c>
      <c r="R332">
        <v>7298.8121275492404</v>
      </c>
      <c r="S332">
        <v>2154.8097154049201</v>
      </c>
      <c r="T332">
        <v>2475</v>
      </c>
      <c r="U332">
        <v>105.422153136918</v>
      </c>
      <c r="V332">
        <v>2950</v>
      </c>
      <c r="W332">
        <v>7805.4088469357603</v>
      </c>
      <c r="X332">
        <v>2211.7606513528299</v>
      </c>
      <c r="Y332">
        <v>-1577.106585599</v>
      </c>
      <c r="Z332">
        <v>3884.3957778312601</v>
      </c>
      <c r="AA332">
        <v>3813.6768134325998</v>
      </c>
      <c r="AB332">
        <v>64.217288135612904</v>
      </c>
      <c r="AC332">
        <v>9887.9816340908601</v>
      </c>
      <c r="AD332">
        <v>-62.881934198569397</v>
      </c>
      <c r="AE332">
        <v>3166.8838175672099</v>
      </c>
      <c r="AF332">
        <v>5303.6660957812401</v>
      </c>
      <c r="AG332">
        <v>2522</v>
      </c>
      <c r="AH332">
        <v>11056.6604653659</v>
      </c>
      <c r="AI332">
        <v>6687.1122009049004</v>
      </c>
      <c r="AJ332">
        <v>7187.3515092923899</v>
      </c>
      <c r="AK332">
        <v>2405.4644464942598</v>
      </c>
      <c r="AL332">
        <v>8399.1630736460193</v>
      </c>
      <c r="AM332">
        <v>1067.59285881299</v>
      </c>
      <c r="AN332">
        <v>947.23152401764901</v>
      </c>
      <c r="AO332">
        <v>239.19999999999899</v>
      </c>
      <c r="AP332">
        <v>771.17025517204797</v>
      </c>
      <c r="AQ332">
        <v>-13234.6714998517</v>
      </c>
      <c r="AR332">
        <v>6156.5565262112996</v>
      </c>
      <c r="AS332">
        <v>7592.2896296102499</v>
      </c>
      <c r="AT332">
        <v>-7665.2505028894302</v>
      </c>
      <c r="AU332">
        <v>72.096528168088497</v>
      </c>
      <c r="AV332">
        <v>-13167.951213053</v>
      </c>
      <c r="AW332">
        <v>4293.3192844508403</v>
      </c>
      <c r="AX332">
        <v>-1068.48300117709</v>
      </c>
      <c r="AY332">
        <v>6794.0419497211897</v>
      </c>
      <c r="AZ332">
        <v>5521.9023299999199</v>
      </c>
      <c r="BA332">
        <v>-507.343717091163</v>
      </c>
      <c r="BB332">
        <v>3390.1071186150202</v>
      </c>
      <c r="BC332">
        <v>4108.9151601620597</v>
      </c>
      <c r="BD332">
        <v>5281.2975355102799</v>
      </c>
      <c r="BE332">
        <f t="shared" si="10"/>
        <v>89989.494179349174</v>
      </c>
      <c r="BF332">
        <f t="shared" si="11"/>
        <v>51354020.18443235</v>
      </c>
    </row>
    <row r="333" spans="1:58" x14ac:dyDescent="0.2">
      <c r="A333" s="1">
        <v>45651</v>
      </c>
      <c r="B333">
        <v>-2805.8651755611299</v>
      </c>
      <c r="C333">
        <v>-1289.7059137705801</v>
      </c>
      <c r="D333">
        <v>516.70942063219798</v>
      </c>
      <c r="E333">
        <v>-5026.6489916890496</v>
      </c>
      <c r="F333">
        <v>-1972</v>
      </c>
      <c r="G333">
        <v>999.000000000005</v>
      </c>
      <c r="H333">
        <v>20698.9273848511</v>
      </c>
      <c r="I333">
        <v>-1123.6964230820699</v>
      </c>
      <c r="J333">
        <v>-88.821909173931601</v>
      </c>
      <c r="K333">
        <v>-12992</v>
      </c>
      <c r="L333">
        <v>-15405.0108405467</v>
      </c>
      <c r="M333">
        <v>-409.52445599973902</v>
      </c>
      <c r="N333">
        <v>-741.78439000001799</v>
      </c>
      <c r="O333">
        <v>38.999999999999702</v>
      </c>
      <c r="P333">
        <v>-3323.6278128202798</v>
      </c>
      <c r="Q333">
        <v>5027.46943505116</v>
      </c>
      <c r="R333">
        <v>-3775.5478208764598</v>
      </c>
      <c r="S333">
        <v>-3203.40543578506</v>
      </c>
      <c r="T333">
        <v>-2333.6026656899498</v>
      </c>
      <c r="U333">
        <v>-83.290193151620798</v>
      </c>
      <c r="V333">
        <v>-4425</v>
      </c>
      <c r="W333">
        <v>-19368</v>
      </c>
      <c r="X333">
        <v>-1456.13469118394</v>
      </c>
      <c r="Y333">
        <v>176.89519160037801</v>
      </c>
      <c r="Z333">
        <v>-1718.85825063381</v>
      </c>
      <c r="AA333">
        <v>-4499.9581663415602</v>
      </c>
      <c r="AB333">
        <v>1170.45585096641</v>
      </c>
      <c r="AC333">
        <v>-3660</v>
      </c>
      <c r="AD333">
        <v>0</v>
      </c>
      <c r="AE333">
        <v>-440.96794961078098</v>
      </c>
      <c r="AF333">
        <v>3059.6269245836102</v>
      </c>
      <c r="AG333">
        <v>-1821</v>
      </c>
      <c r="AH333">
        <v>180</v>
      </c>
      <c r="AI333">
        <v>62.431104451543703</v>
      </c>
      <c r="AJ333">
        <v>-4914</v>
      </c>
      <c r="AK333">
        <v>-2540.3575000000001</v>
      </c>
      <c r="AL333">
        <v>-221.31914183642499</v>
      </c>
      <c r="AM333">
        <v>-3926.88928264987</v>
      </c>
      <c r="AN333">
        <v>-3958.4046611215999</v>
      </c>
      <c r="AO333">
        <v>-131.38595239216701</v>
      </c>
      <c r="AP333">
        <v>528.51055952893603</v>
      </c>
      <c r="AQ333">
        <v>-2889.8419865434098</v>
      </c>
      <c r="AR333">
        <v>2220.4482239689501</v>
      </c>
      <c r="AS333">
        <v>-2340</v>
      </c>
      <c r="AT333">
        <v>950.15863641439205</v>
      </c>
      <c r="AU333">
        <v>-91.532967526152206</v>
      </c>
      <c r="AV333">
        <v>7210.9871868131604</v>
      </c>
      <c r="AW333">
        <v>2473.9785699222002</v>
      </c>
      <c r="AX333">
        <v>-6</v>
      </c>
      <c r="AY333">
        <v>-223.57272060740499</v>
      </c>
      <c r="AZ333">
        <v>-551.98164147281295</v>
      </c>
      <c r="BA333">
        <v>893.54216791841304</v>
      </c>
      <c r="BB333">
        <v>-2110.3658236225801</v>
      </c>
      <c r="BC333">
        <v>-7327.0431648690701</v>
      </c>
      <c r="BD333">
        <v>-1461.3015683072499</v>
      </c>
      <c r="BE333">
        <f t="shared" si="10"/>
        <v>-78450.306840162972</v>
      </c>
      <c r="BF333">
        <f t="shared" si="11"/>
        <v>51275569.877592184</v>
      </c>
    </row>
    <row r="334" spans="1:58" x14ac:dyDescent="0.2">
      <c r="A334" s="1">
        <v>45652</v>
      </c>
      <c r="B334">
        <v>-700.43641592417396</v>
      </c>
      <c r="C334">
        <v>-4813.6988394023601</v>
      </c>
      <c r="D334">
        <v>3114</v>
      </c>
      <c r="E334">
        <v>66.065442709712698</v>
      </c>
      <c r="F334">
        <v>-6596</v>
      </c>
      <c r="G334">
        <v>807.03342817815405</v>
      </c>
      <c r="H334">
        <v>-13351.991099999999</v>
      </c>
      <c r="I334">
        <v>-1176</v>
      </c>
      <c r="J334">
        <v>-960.70518500476999</v>
      </c>
      <c r="K334">
        <v>-407.32115498640798</v>
      </c>
      <c r="L334">
        <v>-4174.0341310686399</v>
      </c>
      <c r="M334">
        <v>409.200000000008</v>
      </c>
      <c r="N334">
        <v>-2047.39445</v>
      </c>
      <c r="O334">
        <v>-315.00000000000102</v>
      </c>
      <c r="P334">
        <v>-872.62934811785999</v>
      </c>
      <c r="Q334">
        <v>909.64040812983899</v>
      </c>
      <c r="R334">
        <v>1786.43620786772</v>
      </c>
      <c r="S334">
        <v>-1752.5663812794401</v>
      </c>
      <c r="T334">
        <v>-1816</v>
      </c>
      <c r="U334">
        <v>-773.68129989306999</v>
      </c>
      <c r="V334">
        <v>-1900</v>
      </c>
      <c r="W334">
        <v>-2983.4035086742601</v>
      </c>
      <c r="X334">
        <v>-1098</v>
      </c>
      <c r="Y334">
        <v>-1029.11437057732</v>
      </c>
      <c r="Z334">
        <v>-1499.1627469497</v>
      </c>
      <c r="AA334">
        <v>-1840.9621467407301</v>
      </c>
      <c r="AB334">
        <v>-3533.0140861469699</v>
      </c>
      <c r="AC334">
        <v>-7275</v>
      </c>
      <c r="AD334">
        <v>-5822</v>
      </c>
      <c r="AE334">
        <v>-4403.6251885832899</v>
      </c>
      <c r="AF334">
        <v>-4114</v>
      </c>
      <c r="AG334">
        <v>-976.69716165117802</v>
      </c>
      <c r="AH334">
        <v>630</v>
      </c>
      <c r="AI334">
        <v>-283.59429093066097</v>
      </c>
      <c r="AJ334">
        <v>-4174.35251665343</v>
      </c>
      <c r="AK334">
        <v>-3195.9328</v>
      </c>
      <c r="AL334">
        <v>-5940</v>
      </c>
      <c r="AM334">
        <v>-384</v>
      </c>
      <c r="AN334">
        <v>-608.40012458353101</v>
      </c>
      <c r="AO334">
        <v>-75.603733236108198</v>
      </c>
      <c r="AP334">
        <v>-271.64472667404402</v>
      </c>
      <c r="AQ334">
        <v>2087.96781599422</v>
      </c>
      <c r="AR334">
        <v>-4082</v>
      </c>
      <c r="AS334">
        <v>-5328</v>
      </c>
      <c r="AT334">
        <v>2631.8763391812899</v>
      </c>
      <c r="AU334">
        <v>147.679845054509</v>
      </c>
      <c r="AV334">
        <v>185</v>
      </c>
      <c r="AW334">
        <v>-1408</v>
      </c>
      <c r="AX334">
        <v>-3240</v>
      </c>
      <c r="AY334">
        <v>249.76907999997201</v>
      </c>
      <c r="AZ334">
        <v>1275.01994999985</v>
      </c>
      <c r="BA334">
        <v>5125.8938384938501</v>
      </c>
      <c r="BB334">
        <v>-1806</v>
      </c>
      <c r="BC334">
        <v>-5112.5241390403598</v>
      </c>
      <c r="BD334">
        <v>-3552.53840213901</v>
      </c>
      <c r="BE334">
        <f t="shared" si="10"/>
        <v>-96269.445892648131</v>
      </c>
      <c r="BF334">
        <f t="shared" si="11"/>
        <v>51179300.431699537</v>
      </c>
    </row>
    <row r="335" spans="1:58" x14ac:dyDescent="0.2">
      <c r="A335" s="1">
        <v>45653</v>
      </c>
      <c r="B335">
        <v>-2097.4710959586</v>
      </c>
      <c r="C335">
        <v>-5306.7274293134396</v>
      </c>
      <c r="D335">
        <v>519</v>
      </c>
      <c r="E335">
        <v>-4732.3100491844798</v>
      </c>
      <c r="F335">
        <v>5352.9476824065796</v>
      </c>
      <c r="G335">
        <v>-1468.9388467900101</v>
      </c>
      <c r="H335">
        <v>1902.1312800000001</v>
      </c>
      <c r="I335">
        <v>1974</v>
      </c>
      <c r="J335">
        <v>-35.704667180309897</v>
      </c>
      <c r="K335">
        <v>-6898.5151185877603</v>
      </c>
      <c r="L335">
        <v>-2780.6747013226</v>
      </c>
      <c r="M335">
        <v>-763.20070859622899</v>
      </c>
      <c r="N335">
        <v>1354.72999999999</v>
      </c>
      <c r="O335">
        <v>-491.99999999999898</v>
      </c>
      <c r="P335">
        <v>1497.9153426016201</v>
      </c>
      <c r="Q335">
        <v>3740</v>
      </c>
      <c r="R335">
        <v>507</v>
      </c>
      <c r="S335">
        <v>-1648.7508499747501</v>
      </c>
      <c r="T335">
        <v>-2652</v>
      </c>
      <c r="U335">
        <v>-122.704622348687</v>
      </c>
      <c r="V335">
        <v>-2750</v>
      </c>
      <c r="W335">
        <v>8600.0938737898196</v>
      </c>
      <c r="X335">
        <v>-511.13261586241703</v>
      </c>
      <c r="Y335">
        <v>-1732</v>
      </c>
      <c r="Z335">
        <v>1421.3369112467899</v>
      </c>
      <c r="AA335">
        <v>-2088.9663392418602</v>
      </c>
      <c r="AB335">
        <v>1974.0933694274299</v>
      </c>
      <c r="AC335">
        <v>-350.404005815473</v>
      </c>
      <c r="AD335">
        <v>-3353.3966123027699</v>
      </c>
      <c r="AE335">
        <v>5215</v>
      </c>
      <c r="AF335">
        <v>-1501.14306616474</v>
      </c>
      <c r="AG335">
        <v>0</v>
      </c>
      <c r="AH335">
        <v>-720</v>
      </c>
      <c r="AI335">
        <v>-51.588999724854602</v>
      </c>
      <c r="AJ335">
        <v>-14394.5271732406</v>
      </c>
      <c r="AK335">
        <v>-423.24310208633102</v>
      </c>
      <c r="AL335">
        <v>-6100.7129469664196</v>
      </c>
      <c r="AM335">
        <v>-578.87684569355804</v>
      </c>
      <c r="AN335">
        <v>197.60044926695301</v>
      </c>
      <c r="AO335">
        <v>151.19999999999899</v>
      </c>
      <c r="AP335">
        <v>-1113.82467181532</v>
      </c>
      <c r="AQ335">
        <v>-4362.8597861095404</v>
      </c>
      <c r="AR335">
        <v>-8640.5791951704505</v>
      </c>
      <c r="AS335">
        <v>1818</v>
      </c>
      <c r="AT335">
        <v>680.04606998279405</v>
      </c>
      <c r="AU335">
        <v>236.33507833508699</v>
      </c>
      <c r="AV335">
        <v>4958</v>
      </c>
      <c r="AW335">
        <v>-792</v>
      </c>
      <c r="AX335">
        <v>1817.49648086764</v>
      </c>
      <c r="AY335">
        <v>-218.658318851454</v>
      </c>
      <c r="AZ335">
        <v>-29.240298937941699</v>
      </c>
      <c r="BA335">
        <v>-1372.37482213475</v>
      </c>
      <c r="BB335">
        <v>409.89418915756301</v>
      </c>
      <c r="BC335">
        <v>-13485.626255683401</v>
      </c>
      <c r="BD335">
        <v>-1422.7483192279899</v>
      </c>
      <c r="BE335">
        <f t="shared" si="10"/>
        <v>-50666.08073720448</v>
      </c>
      <c r="BF335">
        <f t="shared" si="11"/>
        <v>51128634.350962333</v>
      </c>
    </row>
    <row r="336" spans="1:58" x14ac:dyDescent="0.2">
      <c r="A336" s="1">
        <v>45656</v>
      </c>
      <c r="B336">
        <v>-3426.15696917996</v>
      </c>
      <c r="C336">
        <v>-2795.0908881976202</v>
      </c>
      <c r="D336">
        <v>-6747</v>
      </c>
      <c r="E336">
        <v>-2718.68345880486</v>
      </c>
      <c r="F336">
        <v>4257</v>
      </c>
      <c r="G336">
        <v>-720</v>
      </c>
      <c r="H336">
        <v>-7766.7249599999996</v>
      </c>
      <c r="I336">
        <v>1202</v>
      </c>
      <c r="J336">
        <v>-7936</v>
      </c>
      <c r="K336">
        <v>-1526.3945404527899</v>
      </c>
      <c r="L336">
        <v>-7527.04701542982</v>
      </c>
      <c r="M336">
        <v>52.899999999983201</v>
      </c>
      <c r="N336">
        <v>2684.3440799999998</v>
      </c>
      <c r="O336">
        <v>2202</v>
      </c>
      <c r="P336">
        <v>-9735</v>
      </c>
      <c r="Q336">
        <v>-9900</v>
      </c>
      <c r="R336">
        <v>-10985</v>
      </c>
      <c r="S336">
        <v>-2029.06235452961</v>
      </c>
      <c r="T336">
        <v>-11444</v>
      </c>
      <c r="U336">
        <v>1671.6125045747799</v>
      </c>
      <c r="V336">
        <v>-8675</v>
      </c>
      <c r="W336">
        <v>-11058</v>
      </c>
      <c r="X336">
        <v>-6152</v>
      </c>
      <c r="Y336">
        <v>-2981.2244487104999</v>
      </c>
      <c r="Z336">
        <v>-2344.51505031755</v>
      </c>
      <c r="AA336">
        <v>-6074.0244247765904</v>
      </c>
      <c r="AB336">
        <v>10294.459546799901</v>
      </c>
      <c r="AC336">
        <v>-7200</v>
      </c>
      <c r="AD336">
        <v>-10093.0199138223</v>
      </c>
      <c r="AE336">
        <v>-3699.61758561141</v>
      </c>
      <c r="AF336">
        <v>-6688.3987533228401</v>
      </c>
      <c r="AG336">
        <v>0</v>
      </c>
      <c r="AH336">
        <v>-9900</v>
      </c>
      <c r="AI336">
        <v>28.411892485562301</v>
      </c>
      <c r="AJ336">
        <v>-13894.161963377301</v>
      </c>
      <c r="AK336">
        <v>-2897.8714500000001</v>
      </c>
      <c r="AL336">
        <v>-14189.353973625401</v>
      </c>
      <c r="AM336">
        <v>-3325</v>
      </c>
      <c r="AN336">
        <v>-3965</v>
      </c>
      <c r="AO336">
        <v>-93.800000000000594</v>
      </c>
      <c r="AP336">
        <v>546</v>
      </c>
      <c r="AQ336">
        <v>-8512.3683098483507</v>
      </c>
      <c r="AR336">
        <v>-9654.5507660354306</v>
      </c>
      <c r="AS336">
        <v>-14850</v>
      </c>
      <c r="AT336">
        <v>-4351</v>
      </c>
      <c r="AU336">
        <v>2358.2772718411002</v>
      </c>
      <c r="AV336">
        <v>-1126.87816123524</v>
      </c>
      <c r="AW336">
        <v>-2640</v>
      </c>
      <c r="AX336">
        <v>1908</v>
      </c>
      <c r="AY336">
        <v>4697.4645000000601</v>
      </c>
      <c r="AZ336">
        <v>-274.78482701729303</v>
      </c>
      <c r="BA336">
        <v>-3947.62530783688</v>
      </c>
      <c r="BB336">
        <v>-5658.3919214372299</v>
      </c>
      <c r="BC336">
        <v>-3907.7179288380898</v>
      </c>
      <c r="BD336">
        <v>-1655.6447369965899</v>
      </c>
      <c r="BE336">
        <f t="shared" si="10"/>
        <v>-223163.63991370227</v>
      </c>
      <c r="BF336">
        <f t="shared" si="11"/>
        <v>50905470.711048633</v>
      </c>
    </row>
    <row r="337" spans="1:58" x14ac:dyDescent="0.2">
      <c r="A337" s="1">
        <v>45657</v>
      </c>
      <c r="B337">
        <v>-21.155409403233399</v>
      </c>
      <c r="C337">
        <v>-57.789506691354497</v>
      </c>
      <c r="D337">
        <v>0</v>
      </c>
      <c r="E337">
        <v>-87.406999863024296</v>
      </c>
      <c r="F337">
        <v>0</v>
      </c>
      <c r="G337">
        <v>0</v>
      </c>
      <c r="H337">
        <v>-288.54475205252697</v>
      </c>
      <c r="I337">
        <v>0</v>
      </c>
      <c r="J337">
        <v>-14.8664760813444</v>
      </c>
      <c r="K337">
        <v>-102.56331230760399</v>
      </c>
      <c r="L337">
        <v>-13.0266358280909</v>
      </c>
      <c r="M337">
        <v>0</v>
      </c>
      <c r="N337">
        <v>0</v>
      </c>
      <c r="O337">
        <v>0</v>
      </c>
      <c r="P337">
        <v>-108.88640873320099</v>
      </c>
      <c r="Q337">
        <v>-41.758384542961998</v>
      </c>
      <c r="R337">
        <v>-119.473793169912</v>
      </c>
      <c r="S337">
        <v>-40.003383806792399</v>
      </c>
      <c r="T337">
        <v>-110.053251724399</v>
      </c>
      <c r="U337">
        <v>-20.136148416456901</v>
      </c>
      <c r="V337">
        <v>0</v>
      </c>
      <c r="W337">
        <v>-60.096233625540798</v>
      </c>
      <c r="X337">
        <v>-65.219095426749107</v>
      </c>
      <c r="Y337">
        <v>0</v>
      </c>
      <c r="Z337">
        <v>-59.933094502547597</v>
      </c>
      <c r="AA337">
        <v>-5.0099869667164398</v>
      </c>
      <c r="AB337">
        <v>-168.15047672980401</v>
      </c>
      <c r="AC337">
        <v>0</v>
      </c>
      <c r="AD337">
        <v>-84.026816125543505</v>
      </c>
      <c r="AE337">
        <v>0</v>
      </c>
      <c r="AF337">
        <v>-15.5713774910609</v>
      </c>
      <c r="AG337">
        <v>0</v>
      </c>
      <c r="AH337">
        <v>0</v>
      </c>
      <c r="AI337">
        <v>0</v>
      </c>
      <c r="AJ337">
        <v>-66.545080263242198</v>
      </c>
      <c r="AK337">
        <v>0</v>
      </c>
      <c r="AL337">
        <v>-83.115148861380703</v>
      </c>
      <c r="AM337">
        <v>-20.904225943756099</v>
      </c>
      <c r="AN337">
        <v>-6.4070705988433598</v>
      </c>
      <c r="AO337">
        <v>0</v>
      </c>
      <c r="AP337">
        <v>0</v>
      </c>
      <c r="AQ337">
        <v>-33.040047961420299</v>
      </c>
      <c r="AR337">
        <v>-47.183816687408502</v>
      </c>
      <c r="AS337">
        <v>-77.664615286169393</v>
      </c>
      <c r="AT337">
        <v>-85.316575804528298</v>
      </c>
      <c r="AU337">
        <v>-202.141515877149</v>
      </c>
      <c r="AV337">
        <v>-107.75632247048701</v>
      </c>
      <c r="AW337">
        <v>-57.731437973083203</v>
      </c>
      <c r="AX337">
        <v>0</v>
      </c>
      <c r="AY337">
        <v>0</v>
      </c>
      <c r="AZ337">
        <v>0</v>
      </c>
      <c r="BA337">
        <v>0</v>
      </c>
      <c r="BB337">
        <v>-20.353495468941102</v>
      </c>
      <c r="BC337">
        <v>-34.782220613188798</v>
      </c>
      <c r="BD337">
        <v>-12.4276511076764</v>
      </c>
      <c r="BE337">
        <f t="shared" si="10"/>
        <v>-2339.0407684061388</v>
      </c>
      <c r="BF337">
        <f t="shared" si="11"/>
        <v>50903131.670280226</v>
      </c>
    </row>
    <row r="338" spans="1:58" x14ac:dyDescent="0.2">
      <c r="A338" s="1">
        <v>45658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-26.223657098481901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-1.2079798801223001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-5.2963106145889203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-2.3684104091178302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-3.67018370947092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-3.0853372304358899</v>
      </c>
      <c r="BE338">
        <f t="shared" si="10"/>
        <v>-41.851878942217759</v>
      </c>
      <c r="BF338">
        <f t="shared" si="11"/>
        <v>50903089.818401285</v>
      </c>
    </row>
    <row r="339" spans="1:58" x14ac:dyDescent="0.2">
      <c r="A339" s="1">
        <v>45659</v>
      </c>
      <c r="B339">
        <v>0</v>
      </c>
      <c r="C339">
        <v>0</v>
      </c>
      <c r="D339">
        <v>0</v>
      </c>
      <c r="E339">
        <v>-8.7063555633036298</v>
      </c>
      <c r="F339">
        <v>0</v>
      </c>
      <c r="G339">
        <v>0</v>
      </c>
      <c r="H339">
        <v>-26.0583290502382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-1.2037802643133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-2.3602950227955799</v>
      </c>
      <c r="AK339">
        <v>0</v>
      </c>
      <c r="AL339">
        <v>0</v>
      </c>
      <c r="AM339">
        <v>0</v>
      </c>
      <c r="AN339">
        <v>0</v>
      </c>
      <c r="AO339">
        <v>-2.3464992841730798</v>
      </c>
      <c r="AP339">
        <v>-1.9028091287847699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f t="shared" si="10"/>
        <v>-42.578068313608561</v>
      </c>
      <c r="BF339">
        <f t="shared" si="11"/>
        <v>50903047.240332969</v>
      </c>
    </row>
    <row r="340" spans="1:58" x14ac:dyDescent="0.2">
      <c r="A340" s="1">
        <v>45660</v>
      </c>
      <c r="B340">
        <v>525</v>
      </c>
      <c r="C340">
        <v>844</v>
      </c>
      <c r="D340">
        <v>-4.4357568889550896</v>
      </c>
      <c r="E340">
        <v>589.28695280250997</v>
      </c>
      <c r="F340">
        <v>-2409</v>
      </c>
      <c r="G340">
        <v>-854.99999999997897</v>
      </c>
      <c r="H340">
        <v>12233.1884567167</v>
      </c>
      <c r="I340">
        <v>-678</v>
      </c>
      <c r="J340">
        <v>2079</v>
      </c>
      <c r="K340">
        <v>960</v>
      </c>
      <c r="L340">
        <v>7400</v>
      </c>
      <c r="M340">
        <v>-3689.1999999999898</v>
      </c>
      <c r="N340">
        <v>-4209.5395799999997</v>
      </c>
      <c r="O340">
        <v>-891.00000000000102</v>
      </c>
      <c r="P340">
        <v>-204</v>
      </c>
      <c r="Q340">
        <v>-1080</v>
      </c>
      <c r="R340">
        <v>-4551</v>
      </c>
      <c r="S340">
        <v>-109.202163656008</v>
      </c>
      <c r="T340">
        <v>1442</v>
      </c>
      <c r="U340">
        <v>-2340</v>
      </c>
      <c r="V340">
        <v>6375</v>
      </c>
      <c r="W340">
        <v>7168</v>
      </c>
      <c r="X340">
        <v>-860</v>
      </c>
      <c r="Y340">
        <v>1239</v>
      </c>
      <c r="Z340">
        <v>1131</v>
      </c>
      <c r="AA340">
        <v>3229.99999999999</v>
      </c>
      <c r="AB340">
        <v>-3656.402012</v>
      </c>
      <c r="AC340">
        <v>4964</v>
      </c>
      <c r="AD340">
        <v>4189.49321320734</v>
      </c>
      <c r="AE340">
        <v>-2204</v>
      </c>
      <c r="AF340">
        <v>-176</v>
      </c>
      <c r="AG340">
        <v>0</v>
      </c>
      <c r="AH340">
        <v>3960</v>
      </c>
      <c r="AI340">
        <v>142</v>
      </c>
      <c r="AJ340">
        <v>1041.6479630055901</v>
      </c>
      <c r="AK340">
        <v>3889.248525</v>
      </c>
      <c r="AL340">
        <v>6359.0788524699901</v>
      </c>
      <c r="AM340">
        <v>2692</v>
      </c>
      <c r="AN340">
        <v>2932</v>
      </c>
      <c r="AO340">
        <v>191.325943635198</v>
      </c>
      <c r="AP340">
        <v>-320</v>
      </c>
      <c r="AQ340">
        <v>3856</v>
      </c>
      <c r="AR340">
        <v>3535.2284588402699</v>
      </c>
      <c r="AS340">
        <v>3810</v>
      </c>
      <c r="AT340">
        <v>2321</v>
      </c>
      <c r="AU340">
        <v>-1067</v>
      </c>
      <c r="AV340">
        <v>-344</v>
      </c>
      <c r="AW340">
        <v>-65</v>
      </c>
      <c r="AX340">
        <v>1348</v>
      </c>
      <c r="AY340">
        <v>0</v>
      </c>
      <c r="AZ340">
        <v>23793.040439999899</v>
      </c>
      <c r="BA340">
        <v>2201.6113200003001</v>
      </c>
      <c r="BB340">
        <v>1440</v>
      </c>
      <c r="BC340">
        <v>2553</v>
      </c>
      <c r="BD340">
        <v>970</v>
      </c>
      <c r="BE340">
        <f t="shared" si="10"/>
        <v>91691.370613132851</v>
      </c>
      <c r="BF340">
        <f t="shared" si="11"/>
        <v>50994738.610946104</v>
      </c>
    </row>
    <row r="341" spans="1:58" x14ac:dyDescent="0.2">
      <c r="A341" s="1">
        <v>45663</v>
      </c>
      <c r="B341">
        <v>-177.03909187575599</v>
      </c>
      <c r="C341">
        <v>176</v>
      </c>
      <c r="D341">
        <v>2553.9274007577601</v>
      </c>
      <c r="E341">
        <v>-304.24367820941399</v>
      </c>
      <c r="F341">
        <v>4620</v>
      </c>
      <c r="G341">
        <v>2654.99999999999</v>
      </c>
      <c r="H341">
        <v>24522.479136000002</v>
      </c>
      <c r="I341">
        <v>-1160</v>
      </c>
      <c r="J341">
        <v>1643.3610072854101</v>
      </c>
      <c r="K341">
        <v>-3295.3970385695702</v>
      </c>
      <c r="L341">
        <v>1435.6478072877001</v>
      </c>
      <c r="M341">
        <v>2628.9000000000201</v>
      </c>
      <c r="N341">
        <v>1159.14858</v>
      </c>
      <c r="O341">
        <v>-779.99999999999898</v>
      </c>
      <c r="P341">
        <v>1638.83529672193</v>
      </c>
      <c r="Q341">
        <v>-14072.0046037297</v>
      </c>
      <c r="R341">
        <v>508.31681205321502</v>
      </c>
      <c r="S341">
        <v>-126.201283754499</v>
      </c>
      <c r="T341">
        <v>-30</v>
      </c>
      <c r="U341">
        <v>-272.869429745373</v>
      </c>
      <c r="V341">
        <v>825</v>
      </c>
      <c r="W341">
        <v>-2480</v>
      </c>
      <c r="X341">
        <v>-124.318038108824</v>
      </c>
      <c r="Y341">
        <v>461.84637833077699</v>
      </c>
      <c r="Z341">
        <v>429</v>
      </c>
      <c r="AA341">
        <v>352.50000000000898</v>
      </c>
      <c r="AB341">
        <v>1239.3715933742701</v>
      </c>
      <c r="AC341">
        <v>2202</v>
      </c>
      <c r="AD341">
        <v>456</v>
      </c>
      <c r="AE341">
        <v>38</v>
      </c>
      <c r="AF341">
        <v>1371.28212494171</v>
      </c>
      <c r="AG341">
        <v>0</v>
      </c>
      <c r="AH341">
        <v>-2526.8817157004701</v>
      </c>
      <c r="AI341">
        <v>56</v>
      </c>
      <c r="AJ341">
        <v>2821.0621871082699</v>
      </c>
      <c r="AK341">
        <v>-1525.1955</v>
      </c>
      <c r="AL341">
        <v>1147.0775787488899</v>
      </c>
      <c r="AM341">
        <v>492</v>
      </c>
      <c r="AN341">
        <v>320</v>
      </c>
      <c r="AO341">
        <v>-5.7602537269439198</v>
      </c>
      <c r="AP341">
        <v>-520</v>
      </c>
      <c r="AQ341">
        <v>4080</v>
      </c>
      <c r="AR341">
        <v>2285.1501383350401</v>
      </c>
      <c r="AS341">
        <v>3289.7056734275002</v>
      </c>
      <c r="AT341">
        <v>1477</v>
      </c>
      <c r="AU341">
        <v>-1576.22730297424</v>
      </c>
      <c r="AV341">
        <v>-258</v>
      </c>
      <c r="AW341">
        <v>607.36583553703395</v>
      </c>
      <c r="AX341">
        <v>-2926</v>
      </c>
      <c r="AY341">
        <v>-30011.578750000099</v>
      </c>
      <c r="AZ341">
        <v>-18195.5310503689</v>
      </c>
      <c r="BA341">
        <v>2085.7370399997499</v>
      </c>
      <c r="BB341">
        <v>412.63145310869697</v>
      </c>
      <c r="BC341">
        <v>2457.3567549545401</v>
      </c>
      <c r="BD341">
        <v>200</v>
      </c>
      <c r="BE341">
        <f t="shared" si="10"/>
        <v>-7719.5449387912777</v>
      </c>
      <c r="BF341">
        <f t="shared" si="11"/>
        <v>50987019.066007316</v>
      </c>
    </row>
    <row r="342" spans="1:58" x14ac:dyDescent="0.2">
      <c r="A342" s="1">
        <v>45664</v>
      </c>
      <c r="B342">
        <v>-20.988055048293798</v>
      </c>
      <c r="C342">
        <v>0</v>
      </c>
      <c r="D342">
        <v>0</v>
      </c>
      <c r="E342">
        <v>-60.947081858866397</v>
      </c>
      <c r="F342">
        <v>0</v>
      </c>
      <c r="G342">
        <v>0</v>
      </c>
      <c r="H342">
        <v>-103.942437952783</v>
      </c>
      <c r="I342">
        <v>0</v>
      </c>
      <c r="J342">
        <v>0</v>
      </c>
      <c r="K342">
        <v>-25.271707121780501</v>
      </c>
      <c r="L342">
        <v>0</v>
      </c>
      <c r="M342">
        <v>0</v>
      </c>
      <c r="N342">
        <v>0</v>
      </c>
      <c r="O342">
        <v>-47.508265454502599</v>
      </c>
      <c r="P342">
        <v>0</v>
      </c>
      <c r="Q342">
        <v>-96.010990567096798</v>
      </c>
      <c r="R342">
        <v>-39.0315263653182</v>
      </c>
      <c r="S342">
        <v>0</v>
      </c>
      <c r="T342">
        <v>0</v>
      </c>
      <c r="U342">
        <v>-5.73417453230073</v>
      </c>
      <c r="V342">
        <v>-45.335291965280398</v>
      </c>
      <c r="W342">
        <v>-19.9375643040492</v>
      </c>
      <c r="X342">
        <v>-16.1276781355309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-13.715028869287901</v>
      </c>
      <c r="AI342">
        <v>0</v>
      </c>
      <c r="AJ342">
        <v>0</v>
      </c>
      <c r="AK342">
        <v>-25.5625926787041</v>
      </c>
      <c r="AL342">
        <v>-9.8446548230096091</v>
      </c>
      <c r="AM342">
        <v>0</v>
      </c>
      <c r="AN342">
        <v>0</v>
      </c>
      <c r="AO342">
        <v>-2.0611678587068201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-53.883291094019803</v>
      </c>
      <c r="AW342">
        <v>0</v>
      </c>
      <c r="AX342">
        <v>0</v>
      </c>
      <c r="AY342">
        <v>0</v>
      </c>
      <c r="AZ342">
        <v>0</v>
      </c>
      <c r="BA342">
        <v>-115.646286251535</v>
      </c>
      <c r="BB342">
        <v>0</v>
      </c>
      <c r="BC342">
        <v>0</v>
      </c>
      <c r="BD342">
        <v>0</v>
      </c>
      <c r="BE342">
        <f t="shared" si="10"/>
        <v>-701.54779488106567</v>
      </c>
      <c r="BF342">
        <f t="shared" si="11"/>
        <v>50986317.518212438</v>
      </c>
    </row>
    <row r="343" spans="1:58" x14ac:dyDescent="0.2">
      <c r="A343" s="1">
        <v>45665</v>
      </c>
      <c r="B343">
        <v>0</v>
      </c>
      <c r="C343">
        <v>-412</v>
      </c>
      <c r="D343">
        <v>-11410.2448466796</v>
      </c>
      <c r="E343">
        <v>76.513577550476001</v>
      </c>
      <c r="F343">
        <v>363</v>
      </c>
      <c r="G343">
        <v>1604.99999999998</v>
      </c>
      <c r="H343">
        <v>10219.821696000001</v>
      </c>
      <c r="I343">
        <v>-2550</v>
      </c>
      <c r="J343">
        <v>-7852</v>
      </c>
      <c r="K343">
        <v>-4278</v>
      </c>
      <c r="L343">
        <v>-2527</v>
      </c>
      <c r="M343">
        <v>-577.30000000000803</v>
      </c>
      <c r="N343">
        <v>-3416.4379199999898</v>
      </c>
      <c r="O343">
        <v>0</v>
      </c>
      <c r="P343">
        <v>-5821.6553109038396</v>
      </c>
      <c r="Q343">
        <v>900</v>
      </c>
      <c r="R343">
        <v>-2144</v>
      </c>
      <c r="S343">
        <v>91</v>
      </c>
      <c r="T343">
        <v>-164</v>
      </c>
      <c r="U343">
        <v>-2963.8735922626001</v>
      </c>
      <c r="V343">
        <v>0</v>
      </c>
      <c r="W343">
        <v>-3270</v>
      </c>
      <c r="X343">
        <v>-167</v>
      </c>
      <c r="Y343">
        <v>-778</v>
      </c>
      <c r="Z343">
        <v>-546</v>
      </c>
      <c r="AA343">
        <v>-1432.5</v>
      </c>
      <c r="AB343">
        <v>292.837536</v>
      </c>
      <c r="AC343">
        <v>-3228</v>
      </c>
      <c r="AD343">
        <v>-1406</v>
      </c>
      <c r="AE343">
        <v>-38</v>
      </c>
      <c r="AF343">
        <v>516</v>
      </c>
      <c r="AG343">
        <v>0</v>
      </c>
      <c r="AH343">
        <v>-5376</v>
      </c>
      <c r="AI343">
        <v>-34</v>
      </c>
      <c r="AJ343">
        <v>-3406.3374121246602</v>
      </c>
      <c r="AK343">
        <v>-1423.5157999999999</v>
      </c>
      <c r="AL343">
        <v>-1060.92512514847</v>
      </c>
      <c r="AM343">
        <v>-1900</v>
      </c>
      <c r="AN343">
        <v>-1908</v>
      </c>
      <c r="AO343">
        <v>-117.17357375242899</v>
      </c>
      <c r="AP343">
        <v>240</v>
      </c>
      <c r="AQ343">
        <v>-976</v>
      </c>
      <c r="AR343">
        <v>-1392</v>
      </c>
      <c r="AS343">
        <v>-3780</v>
      </c>
      <c r="AT343">
        <v>-6752</v>
      </c>
      <c r="AU343">
        <v>3710</v>
      </c>
      <c r="AV343">
        <v>2430</v>
      </c>
      <c r="AW343">
        <v>-960</v>
      </c>
      <c r="AX343">
        <v>-1350</v>
      </c>
      <c r="AY343">
        <v>30011.578750000099</v>
      </c>
      <c r="AZ343">
        <v>29918.299917005501</v>
      </c>
      <c r="BA343">
        <v>5870.9635200002203</v>
      </c>
      <c r="BB343">
        <v>-2170</v>
      </c>
      <c r="BC343">
        <v>-2356</v>
      </c>
      <c r="BD343">
        <v>-360</v>
      </c>
      <c r="BE343">
        <f t="shared" si="10"/>
        <v>-4058.9485843153079</v>
      </c>
      <c r="BF343">
        <f t="shared" si="11"/>
        <v>50982258.569628119</v>
      </c>
    </row>
    <row r="344" spans="1:58" x14ac:dyDescent="0.2">
      <c r="A344" s="1">
        <v>45666</v>
      </c>
      <c r="B344">
        <v>-20.9761029263193</v>
      </c>
      <c r="C344">
        <v>637.51926047681195</v>
      </c>
      <c r="D344">
        <v>9299.1183420571997</v>
      </c>
      <c r="E344">
        <v>-469.349197721672</v>
      </c>
      <c r="F344">
        <v>-12342</v>
      </c>
      <c r="G344">
        <v>-2491.4943096297002</v>
      </c>
      <c r="H344">
        <v>215.35189857381599</v>
      </c>
      <c r="I344">
        <v>1640.1981823337701</v>
      </c>
      <c r="J344">
        <v>5074.0347378755196</v>
      </c>
      <c r="K344">
        <v>-4324</v>
      </c>
      <c r="L344">
        <v>10393</v>
      </c>
      <c r="M344">
        <v>-2392</v>
      </c>
      <c r="N344">
        <v>-732.09384000002694</v>
      </c>
      <c r="O344">
        <v>0</v>
      </c>
      <c r="P344">
        <v>7127.9545923674796</v>
      </c>
      <c r="Q344">
        <v>1909.2936843723201</v>
      </c>
      <c r="R344">
        <v>883.29036718633597</v>
      </c>
      <c r="S344">
        <v>-169</v>
      </c>
      <c r="T344">
        <v>-584.55688020497303</v>
      </c>
      <c r="U344">
        <v>220</v>
      </c>
      <c r="V344">
        <v>0</v>
      </c>
      <c r="W344">
        <v>8289.9428116605905</v>
      </c>
      <c r="X344">
        <v>270.05853540584201</v>
      </c>
      <c r="Y344">
        <v>872</v>
      </c>
      <c r="Z344">
        <v>39</v>
      </c>
      <c r="AA344">
        <v>3684.93503814315</v>
      </c>
      <c r="AB344">
        <v>1976.65336799999</v>
      </c>
      <c r="AC344">
        <v>5634</v>
      </c>
      <c r="AD344">
        <v>3922.48508218804</v>
      </c>
      <c r="AE344">
        <v>6308</v>
      </c>
      <c r="AF344">
        <v>768</v>
      </c>
      <c r="AG344">
        <v>-173.84993710617599</v>
      </c>
      <c r="AH344">
        <v>3997.5843620811402</v>
      </c>
      <c r="AI344">
        <v>144</v>
      </c>
      <c r="AJ344">
        <v>1157.3746021161901</v>
      </c>
      <c r="AK344">
        <v>2999.5511499999998</v>
      </c>
      <c r="AL344">
        <v>2924.3245656065001</v>
      </c>
      <c r="AM344">
        <v>2102.8431307426299</v>
      </c>
      <c r="AN344">
        <v>2193.5061837520002</v>
      </c>
      <c r="AO344">
        <v>-95.200000000002305</v>
      </c>
      <c r="AP344">
        <v>400</v>
      </c>
      <c r="AQ344">
        <v>4720</v>
      </c>
      <c r="AR344">
        <v>1856</v>
      </c>
      <c r="AS344">
        <v>9844.6187026769294</v>
      </c>
      <c r="AT344">
        <v>10372.446658045101</v>
      </c>
      <c r="AU344">
        <v>-3474.6709862181801</v>
      </c>
      <c r="AV344">
        <v>-2565.0164985854799</v>
      </c>
      <c r="AW344">
        <v>1781.21180083224</v>
      </c>
      <c r="AX344">
        <v>1622</v>
      </c>
      <c r="AY344">
        <v>-6002.3157499999097</v>
      </c>
      <c r="AZ344">
        <v>0</v>
      </c>
      <c r="BA344">
        <v>-7330.9775655902504</v>
      </c>
      <c r="BB344">
        <v>2149.7336781164699</v>
      </c>
      <c r="BC344">
        <v>3387.0887888798102</v>
      </c>
      <c r="BD344">
        <v>1070</v>
      </c>
      <c r="BE344">
        <f t="shared" si="10"/>
        <v>78719.618455507196</v>
      </c>
      <c r="BF344">
        <f t="shared" si="11"/>
        <v>51060978.188083626</v>
      </c>
    </row>
    <row r="345" spans="1:58" x14ac:dyDescent="0.2">
      <c r="A345" s="1">
        <v>45667</v>
      </c>
      <c r="B345">
        <v>276</v>
      </c>
      <c r="C345">
        <v>-346</v>
      </c>
      <c r="D345">
        <v>-2919</v>
      </c>
      <c r="E345">
        <v>1164</v>
      </c>
      <c r="F345">
        <v>8409.4083981107997</v>
      </c>
      <c r="G345">
        <v>-1455.99999999998</v>
      </c>
      <c r="H345">
        <v>-9631.5162433906298</v>
      </c>
      <c r="I345">
        <v>524</v>
      </c>
      <c r="J345">
        <v>-1100</v>
      </c>
      <c r="K345">
        <v>7981</v>
      </c>
      <c r="L345">
        <v>-3439</v>
      </c>
      <c r="M345">
        <v>-3397.1000000000099</v>
      </c>
      <c r="N345">
        <v>-3040.2230299999601</v>
      </c>
      <c r="O345">
        <v>339.99999999999898</v>
      </c>
      <c r="P345">
        <v>-3456</v>
      </c>
      <c r="Q345">
        <v>-750</v>
      </c>
      <c r="R345">
        <v>-506</v>
      </c>
      <c r="S345">
        <v>169</v>
      </c>
      <c r="T345">
        <v>-322</v>
      </c>
      <c r="U345">
        <v>3080</v>
      </c>
      <c r="V345">
        <v>0</v>
      </c>
      <c r="W345">
        <v>-6300</v>
      </c>
      <c r="X345">
        <v>0</v>
      </c>
      <c r="Y345">
        <v>-1548</v>
      </c>
      <c r="Z345">
        <v>-156</v>
      </c>
      <c r="AA345">
        <v>-1922</v>
      </c>
      <c r="AB345">
        <v>787.43290959771002</v>
      </c>
      <c r="AC345">
        <v>-2550</v>
      </c>
      <c r="AD345">
        <v>-1530</v>
      </c>
      <c r="AE345">
        <v>2217.2381192991302</v>
      </c>
      <c r="AF345">
        <v>-1440</v>
      </c>
      <c r="AG345">
        <v>4178</v>
      </c>
      <c r="AH345">
        <v>962</v>
      </c>
      <c r="AI345">
        <v>28</v>
      </c>
      <c r="AJ345">
        <v>-2880</v>
      </c>
      <c r="AK345">
        <v>-864.27744999999902</v>
      </c>
      <c r="AL345">
        <v>-2604</v>
      </c>
      <c r="AM345">
        <v>-1839</v>
      </c>
      <c r="AN345">
        <v>-2043</v>
      </c>
      <c r="AO345">
        <v>452.20000000000198</v>
      </c>
      <c r="AP345">
        <v>-9.4967511796666209</v>
      </c>
      <c r="AQ345">
        <v>-1536</v>
      </c>
      <c r="AR345">
        <v>-464</v>
      </c>
      <c r="AS345">
        <v>9945</v>
      </c>
      <c r="AT345">
        <v>-6192</v>
      </c>
      <c r="AU345">
        <v>2880</v>
      </c>
      <c r="AV345">
        <v>-2950</v>
      </c>
      <c r="AW345">
        <v>-930</v>
      </c>
      <c r="AX345">
        <v>1666</v>
      </c>
      <c r="AY345">
        <v>7595.0548390721997</v>
      </c>
      <c r="AZ345">
        <v>5581.08356000003</v>
      </c>
      <c r="BA345">
        <v>-2832.4823999999799</v>
      </c>
      <c r="BB345">
        <v>-1050</v>
      </c>
      <c r="BC345">
        <v>-3584</v>
      </c>
      <c r="BD345">
        <v>-990</v>
      </c>
      <c r="BE345">
        <f t="shared" si="10"/>
        <v>-18341.678048490357</v>
      </c>
      <c r="BF345">
        <f t="shared" si="11"/>
        <v>51042636.510035135</v>
      </c>
    </row>
    <row r="346" spans="1:58" x14ac:dyDescent="0.2">
      <c r="A346" s="1">
        <v>45670</v>
      </c>
      <c r="B346">
        <v>134</v>
      </c>
      <c r="C346">
        <v>-382</v>
      </c>
      <c r="D346">
        <v>-2919</v>
      </c>
      <c r="E346">
        <v>60</v>
      </c>
      <c r="F346">
        <v>-8959</v>
      </c>
      <c r="G346">
        <v>-1728</v>
      </c>
      <c r="H346">
        <v>-4742.8449600000004</v>
      </c>
      <c r="I346">
        <v>-426</v>
      </c>
      <c r="J346">
        <v>-1140</v>
      </c>
      <c r="K346">
        <v>-483</v>
      </c>
      <c r="L346">
        <v>-11438</v>
      </c>
      <c r="M346">
        <v>1599.38896022013</v>
      </c>
      <c r="N346">
        <v>3266.8986792556798</v>
      </c>
      <c r="O346">
        <v>0</v>
      </c>
      <c r="P346">
        <v>-1332</v>
      </c>
      <c r="Q346">
        <v>-150</v>
      </c>
      <c r="R346">
        <v>84.18890698701</v>
      </c>
      <c r="S346">
        <v>182</v>
      </c>
      <c r="T346">
        <v>56</v>
      </c>
      <c r="U346">
        <v>-3828</v>
      </c>
      <c r="V346">
        <v>0</v>
      </c>
      <c r="W346">
        <v>-5508.0721917188303</v>
      </c>
      <c r="X346">
        <v>0</v>
      </c>
      <c r="Y346">
        <v>-211.29183412187399</v>
      </c>
      <c r="Z346">
        <v>-936</v>
      </c>
      <c r="AA346">
        <v>-1687.99999999999</v>
      </c>
      <c r="AB346">
        <v>1286.01894886268</v>
      </c>
      <c r="AC346">
        <v>-10210</v>
      </c>
      <c r="AD346">
        <v>-1962</v>
      </c>
      <c r="AE346">
        <v>-2009.2655268726101</v>
      </c>
      <c r="AF346">
        <v>-840</v>
      </c>
      <c r="AG346">
        <v>636.115039862922</v>
      </c>
      <c r="AH346">
        <v>0</v>
      </c>
      <c r="AI346">
        <v>-50</v>
      </c>
      <c r="AJ346">
        <v>-7607.0897540714304</v>
      </c>
      <c r="AK346">
        <v>-815.31679999999994</v>
      </c>
      <c r="AL346">
        <v>-1344</v>
      </c>
      <c r="AM346">
        <v>-1014</v>
      </c>
      <c r="AN346">
        <v>-1203</v>
      </c>
      <c r="AO346">
        <v>-393.07011697252102</v>
      </c>
      <c r="AP346">
        <v>-1406.4020872548299</v>
      </c>
      <c r="AQ346">
        <v>2048</v>
      </c>
      <c r="AR346">
        <v>-348</v>
      </c>
      <c r="AS346">
        <v>-2249</v>
      </c>
      <c r="AT346">
        <v>-1032</v>
      </c>
      <c r="AU346">
        <v>6600</v>
      </c>
      <c r="AV346">
        <v>-1800</v>
      </c>
      <c r="AW346">
        <v>-1457</v>
      </c>
      <c r="AX346">
        <v>642</v>
      </c>
      <c r="AY346">
        <v>637.18739999992897</v>
      </c>
      <c r="AZ346">
        <v>12184.230239999901</v>
      </c>
      <c r="BA346">
        <v>643.39999999977999</v>
      </c>
      <c r="BB346">
        <v>-300</v>
      </c>
      <c r="BC346">
        <v>168</v>
      </c>
      <c r="BD346">
        <v>-1290</v>
      </c>
      <c r="BE346">
        <f t="shared" si="10"/>
        <v>-52973.925095824059</v>
      </c>
      <c r="BF346">
        <f t="shared" si="11"/>
        <v>50989662.584939308</v>
      </c>
    </row>
    <row r="347" spans="1:58" x14ac:dyDescent="0.2">
      <c r="A347" s="1">
        <v>45671</v>
      </c>
      <c r="B347">
        <v>-167</v>
      </c>
      <c r="C347">
        <v>17.2801993915729</v>
      </c>
      <c r="D347">
        <v>2085</v>
      </c>
      <c r="E347">
        <v>-144</v>
      </c>
      <c r="F347">
        <v>-8936.1330327078704</v>
      </c>
      <c r="G347">
        <v>-1375.99999999997</v>
      </c>
      <c r="H347">
        <v>14906.08416</v>
      </c>
      <c r="I347">
        <v>802</v>
      </c>
      <c r="J347">
        <v>1460</v>
      </c>
      <c r="K347">
        <v>598</v>
      </c>
      <c r="L347">
        <v>-1845.9556709084</v>
      </c>
      <c r="M347">
        <v>-438.00186566989299</v>
      </c>
      <c r="N347">
        <v>0</v>
      </c>
      <c r="O347">
        <v>0</v>
      </c>
      <c r="P347">
        <v>1368</v>
      </c>
      <c r="Q347">
        <v>-100</v>
      </c>
      <c r="R347">
        <v>-1376</v>
      </c>
      <c r="S347">
        <v>-248.186283307998</v>
      </c>
      <c r="T347">
        <v>121</v>
      </c>
      <c r="U347">
        <v>220</v>
      </c>
      <c r="V347">
        <v>0</v>
      </c>
      <c r="W347">
        <v>-3368.1299112402999</v>
      </c>
      <c r="X347">
        <v>0</v>
      </c>
      <c r="Y347">
        <v>-276</v>
      </c>
      <c r="Z347">
        <v>-3.34645844941336</v>
      </c>
      <c r="AA347">
        <v>8.9083133753295094</v>
      </c>
      <c r="AB347">
        <v>-1417.33644133948</v>
      </c>
      <c r="AC347">
        <v>2185.51297042542</v>
      </c>
      <c r="AD347">
        <v>594</v>
      </c>
      <c r="AE347">
        <v>5290</v>
      </c>
      <c r="AF347">
        <v>660</v>
      </c>
      <c r="AG347">
        <v>-2794.02125734529</v>
      </c>
      <c r="AH347">
        <v>2220</v>
      </c>
      <c r="AI347">
        <v>28</v>
      </c>
      <c r="AJ347">
        <v>715.82549265274395</v>
      </c>
      <c r="AK347">
        <v>203.82919999999999</v>
      </c>
      <c r="AL347">
        <v>-210.82081112910001</v>
      </c>
      <c r="AM347">
        <v>620.68822534421395</v>
      </c>
      <c r="AN347">
        <v>722.44901275248901</v>
      </c>
      <c r="AO347">
        <v>228.00000000000099</v>
      </c>
      <c r="AP347">
        <v>204</v>
      </c>
      <c r="AQ347">
        <v>192</v>
      </c>
      <c r="AR347">
        <v>-464</v>
      </c>
      <c r="AS347">
        <v>677.51540014207603</v>
      </c>
      <c r="AT347">
        <v>3575.6895297074502</v>
      </c>
      <c r="AU347">
        <v>2785.48443709515</v>
      </c>
      <c r="AV347">
        <v>-3400</v>
      </c>
      <c r="AW347">
        <v>-346.61386165971902</v>
      </c>
      <c r="AX347">
        <v>260</v>
      </c>
      <c r="AY347">
        <v>-17204.059800000199</v>
      </c>
      <c r="AZ347">
        <v>-5497.26050098412</v>
      </c>
      <c r="BA347">
        <v>5404.5600000001996</v>
      </c>
      <c r="BB347">
        <v>25</v>
      </c>
      <c r="BC347">
        <v>1396.16905381841</v>
      </c>
      <c r="BD347">
        <v>101.61309995495201</v>
      </c>
      <c r="BE347">
        <f t="shared" si="10"/>
        <v>63.743199918260345</v>
      </c>
      <c r="BF347">
        <f t="shared" si="11"/>
        <v>50989726.328139223</v>
      </c>
    </row>
    <row r="348" spans="1:58" x14ac:dyDescent="0.2">
      <c r="A348" s="1">
        <v>45672</v>
      </c>
      <c r="B348">
        <v>-122</v>
      </c>
      <c r="C348">
        <v>-562.02077025431902</v>
      </c>
      <c r="D348">
        <v>-1668</v>
      </c>
      <c r="E348">
        <v>-584.82627292204199</v>
      </c>
      <c r="F348">
        <v>-9745.2229817604893</v>
      </c>
      <c r="G348">
        <v>319.99999999999301</v>
      </c>
      <c r="H348">
        <v>30009.741785576702</v>
      </c>
      <c r="I348">
        <v>622</v>
      </c>
      <c r="J348">
        <v>2880</v>
      </c>
      <c r="K348">
        <v>-368</v>
      </c>
      <c r="L348">
        <v>761.21745577502099</v>
      </c>
      <c r="M348">
        <v>-1237.31544742088</v>
      </c>
      <c r="N348">
        <v>0</v>
      </c>
      <c r="O348">
        <v>56.000000000000902</v>
      </c>
      <c r="P348">
        <v>2124</v>
      </c>
      <c r="Q348">
        <v>200</v>
      </c>
      <c r="R348">
        <v>-484.80656407830298</v>
      </c>
      <c r="S348">
        <v>-168</v>
      </c>
      <c r="T348">
        <v>1280</v>
      </c>
      <c r="U348">
        <v>-1408</v>
      </c>
      <c r="V348">
        <v>0</v>
      </c>
      <c r="W348">
        <v>-856.06772611241195</v>
      </c>
      <c r="X348">
        <v>0</v>
      </c>
      <c r="Y348">
        <v>214.705897075302</v>
      </c>
      <c r="Z348">
        <v>7.9218049493690303</v>
      </c>
      <c r="AA348">
        <v>497.99999999999699</v>
      </c>
      <c r="AB348">
        <v>2264.9190211999899</v>
      </c>
      <c r="AC348">
        <v>791</v>
      </c>
      <c r="AD348">
        <v>1080</v>
      </c>
      <c r="AE348">
        <v>372.62499119048198</v>
      </c>
      <c r="AF348">
        <v>-624</v>
      </c>
      <c r="AG348">
        <v>2745</v>
      </c>
      <c r="AH348">
        <v>-2442</v>
      </c>
      <c r="AI348">
        <v>100</v>
      </c>
      <c r="AJ348">
        <v>-1042.4509987064901</v>
      </c>
      <c r="AK348">
        <v>770.31074999999998</v>
      </c>
      <c r="AL348">
        <v>2710.1191685937001</v>
      </c>
      <c r="AM348">
        <v>628</v>
      </c>
      <c r="AN348">
        <v>752</v>
      </c>
      <c r="AO348">
        <v>228.00000000000099</v>
      </c>
      <c r="AP348">
        <v>-459</v>
      </c>
      <c r="AQ348">
        <v>-1072</v>
      </c>
      <c r="AR348">
        <v>-116</v>
      </c>
      <c r="AS348">
        <v>3169.7584731009802</v>
      </c>
      <c r="AT348">
        <v>656</v>
      </c>
      <c r="AU348">
        <v>-4547.6793673285201</v>
      </c>
      <c r="AV348">
        <v>7040.8922722105299</v>
      </c>
      <c r="AW348">
        <v>291.26041889242998</v>
      </c>
      <c r="AX348">
        <v>756</v>
      </c>
      <c r="AY348">
        <v>-1364.6089242202399</v>
      </c>
      <c r="AZ348">
        <v>-12699.926820000201</v>
      </c>
      <c r="BA348">
        <v>-17636.752000000099</v>
      </c>
      <c r="BB348">
        <v>-4550</v>
      </c>
      <c r="BC348">
        <v>440</v>
      </c>
      <c r="BD348">
        <v>61.720836515639299</v>
      </c>
      <c r="BE348">
        <f t="shared" si="10"/>
        <v>72.515002276143548</v>
      </c>
      <c r="BF348">
        <f t="shared" si="11"/>
        <v>50989798.843141496</v>
      </c>
    </row>
    <row r="349" spans="1:58" x14ac:dyDescent="0.2">
      <c r="A349" s="1">
        <v>45673</v>
      </c>
      <c r="B349">
        <v>481</v>
      </c>
      <c r="C349">
        <v>1584</v>
      </c>
      <c r="D349">
        <v>-4587</v>
      </c>
      <c r="E349">
        <v>182</v>
      </c>
      <c r="F349">
        <v>7226.6008088362596</v>
      </c>
      <c r="G349">
        <v>670.501643528665</v>
      </c>
      <c r="H349">
        <v>23784.327545623</v>
      </c>
      <c r="I349">
        <v>-233</v>
      </c>
      <c r="J349">
        <v>-2340</v>
      </c>
      <c r="K349">
        <v>5691.4230351832302</v>
      </c>
      <c r="L349">
        <v>-4288.40926540899</v>
      </c>
      <c r="M349">
        <v>-1114.05259732593</v>
      </c>
      <c r="N349">
        <v>0</v>
      </c>
      <c r="O349">
        <v>-2475.99999999999</v>
      </c>
      <c r="P349">
        <v>-7272</v>
      </c>
      <c r="Q349">
        <v>-200</v>
      </c>
      <c r="R349">
        <v>-594.43530301532599</v>
      </c>
      <c r="S349">
        <v>280</v>
      </c>
      <c r="T349">
        <v>-809</v>
      </c>
      <c r="U349">
        <v>1386</v>
      </c>
      <c r="V349">
        <v>0</v>
      </c>
      <c r="W349">
        <v>-2460.0929437608102</v>
      </c>
      <c r="X349">
        <v>0</v>
      </c>
      <c r="Y349">
        <v>0</v>
      </c>
      <c r="Z349">
        <v>-2743.0556989445799</v>
      </c>
      <c r="AA349">
        <v>-2074.5</v>
      </c>
      <c r="AB349">
        <v>4.14704547434257</v>
      </c>
      <c r="AC349">
        <v>-305</v>
      </c>
      <c r="AD349">
        <v>-4230</v>
      </c>
      <c r="AE349">
        <v>3035.1570358429599</v>
      </c>
      <c r="AF349">
        <v>-7961.4205594820996</v>
      </c>
      <c r="AG349">
        <v>8322</v>
      </c>
      <c r="AH349">
        <v>-2738</v>
      </c>
      <c r="AI349">
        <v>0</v>
      </c>
      <c r="AJ349">
        <v>-2979.88925438756</v>
      </c>
      <c r="AK349">
        <v>-2482.5120000000002</v>
      </c>
      <c r="AL349">
        <v>-1892</v>
      </c>
      <c r="AM349">
        <v>-1146</v>
      </c>
      <c r="AN349">
        <v>-1178</v>
      </c>
      <c r="AO349">
        <v>-706.32048259298006</v>
      </c>
      <c r="AP349">
        <v>-2193</v>
      </c>
      <c r="AQ349">
        <v>-2131.8334421381601</v>
      </c>
      <c r="AR349">
        <v>-11484</v>
      </c>
      <c r="AS349">
        <v>-31540.2002994988</v>
      </c>
      <c r="AT349">
        <v>-7872</v>
      </c>
      <c r="AU349">
        <v>6048</v>
      </c>
      <c r="AV349">
        <v>-7452</v>
      </c>
      <c r="AW349">
        <v>666</v>
      </c>
      <c r="AX349">
        <v>-502</v>
      </c>
      <c r="AY349">
        <v>-10586.888143485099</v>
      </c>
      <c r="AZ349">
        <v>5488.6847400000697</v>
      </c>
      <c r="BA349">
        <v>-9323.4643999997297</v>
      </c>
      <c r="BB349">
        <v>-2492.11843407472</v>
      </c>
      <c r="BC349">
        <v>-2750</v>
      </c>
      <c r="BD349">
        <v>103.92299086654999</v>
      </c>
      <c r="BE349">
        <f t="shared" si="10"/>
        <v>-80184.427978759704</v>
      </c>
      <c r="BF349">
        <f t="shared" si="11"/>
        <v>50909614.415162735</v>
      </c>
    </row>
    <row r="350" spans="1:58" x14ac:dyDescent="0.2">
      <c r="A350" s="1">
        <v>45674</v>
      </c>
      <c r="B350">
        <v>9</v>
      </c>
      <c r="C350">
        <v>-317.57017964028302</v>
      </c>
      <c r="D350">
        <v>-4170</v>
      </c>
      <c r="E350">
        <v>-130</v>
      </c>
      <c r="F350">
        <v>-4947.9306382126597</v>
      </c>
      <c r="G350">
        <v>1573.4990555106101</v>
      </c>
      <c r="H350">
        <v>32583.897112004299</v>
      </c>
      <c r="I350">
        <v>-677</v>
      </c>
      <c r="J350">
        <v>-3320</v>
      </c>
      <c r="K350">
        <v>6284.3731564308</v>
      </c>
      <c r="L350">
        <v>-2884.25706907722</v>
      </c>
      <c r="M350">
        <v>446.23502541820699</v>
      </c>
      <c r="N350">
        <v>0</v>
      </c>
      <c r="O350">
        <v>2112.9697489332498</v>
      </c>
      <c r="P350">
        <v>-4721.88386518681</v>
      </c>
      <c r="Q350">
        <v>50</v>
      </c>
      <c r="R350">
        <v>-157.55273442145199</v>
      </c>
      <c r="S350">
        <v>-56</v>
      </c>
      <c r="T350">
        <v>-151</v>
      </c>
      <c r="U350">
        <v>704</v>
      </c>
      <c r="V350">
        <v>0</v>
      </c>
      <c r="W350">
        <v>-92.082558263703902</v>
      </c>
      <c r="X350">
        <v>-47.730095334141403</v>
      </c>
      <c r="Y350">
        <v>-9.3608127031319892</v>
      </c>
      <c r="Z350">
        <v>-1557.0572300951401</v>
      </c>
      <c r="AA350">
        <v>-809.13142341356297</v>
      </c>
      <c r="AB350">
        <v>222.01068557039301</v>
      </c>
      <c r="AC350">
        <v>-644</v>
      </c>
      <c r="AD350">
        <v>1531.33923725771</v>
      </c>
      <c r="AE350">
        <v>1532.8745957528399</v>
      </c>
      <c r="AF350">
        <v>-7459.1568194294596</v>
      </c>
      <c r="AG350">
        <v>-2781</v>
      </c>
      <c r="AH350">
        <v>-592</v>
      </c>
      <c r="AI350">
        <v>81.015478276221103</v>
      </c>
      <c r="AJ350">
        <v>-1987.84774420843</v>
      </c>
      <c r="AK350">
        <v>-1465.72095051937</v>
      </c>
      <c r="AL350">
        <v>-2420</v>
      </c>
      <c r="AM350">
        <v>-253.398507861664</v>
      </c>
      <c r="AN350">
        <v>-334.584447391813</v>
      </c>
      <c r="AO350">
        <v>-24.149376052166499</v>
      </c>
      <c r="AP350">
        <v>-867</v>
      </c>
      <c r="AQ350">
        <v>527</v>
      </c>
      <c r="AR350">
        <v>-16721.059631583899</v>
      </c>
      <c r="AS350">
        <v>6855.3972751914998</v>
      </c>
      <c r="AT350">
        <v>-487.73328120268201</v>
      </c>
      <c r="AU350">
        <v>3964.3757675318898</v>
      </c>
      <c r="AV350">
        <v>1140.8605611124499</v>
      </c>
      <c r="AW350">
        <v>-2.4503994394167399</v>
      </c>
      <c r="AX350">
        <v>-1790</v>
      </c>
      <c r="AY350">
        <v>16882.0196946955</v>
      </c>
      <c r="AZ350">
        <v>-4566.4802999998301</v>
      </c>
      <c r="BA350">
        <v>5233.6389874734496</v>
      </c>
      <c r="BB350">
        <v>-1927.4727903258199</v>
      </c>
      <c r="BC350">
        <v>-4290</v>
      </c>
      <c r="BD350">
        <v>-25.142659062956799</v>
      </c>
      <c r="BE350">
        <f t="shared" si="10"/>
        <v>9046.7528677335067</v>
      </c>
      <c r="BF350">
        <f t="shared" si="11"/>
        <v>50918661.168030471</v>
      </c>
    </row>
    <row r="351" spans="1:58" x14ac:dyDescent="0.2">
      <c r="A351" s="1">
        <v>45677</v>
      </c>
      <c r="B351">
        <v>-615.77845553381803</v>
      </c>
      <c r="C351">
        <v>-2471.81115607126</v>
      </c>
      <c r="D351">
        <v>1631.0097561263999</v>
      </c>
      <c r="E351">
        <v>650</v>
      </c>
      <c r="F351">
        <v>1851.1788419381601</v>
      </c>
      <c r="G351">
        <v>0</v>
      </c>
      <c r="H351">
        <v>1580.2537629999999</v>
      </c>
      <c r="I351">
        <v>237</v>
      </c>
      <c r="J351">
        <v>-500</v>
      </c>
      <c r="K351">
        <v>-5810.3672353563898</v>
      </c>
      <c r="L351">
        <v>786.74682788786595</v>
      </c>
      <c r="M351">
        <v>-161.88899691540101</v>
      </c>
      <c r="N351">
        <v>-45.288112530560099</v>
      </c>
      <c r="O351">
        <v>0</v>
      </c>
      <c r="P351">
        <v>2057.4728572795598</v>
      </c>
      <c r="Q351">
        <v>600</v>
      </c>
      <c r="R351">
        <v>-154.181218786974</v>
      </c>
      <c r="S351">
        <v>-126</v>
      </c>
      <c r="T351">
        <v>877</v>
      </c>
      <c r="U351">
        <v>-2156</v>
      </c>
      <c r="V351">
        <v>0</v>
      </c>
      <c r="W351">
        <v>-700.08620030971099</v>
      </c>
      <c r="X351">
        <v>-768.91624380019596</v>
      </c>
      <c r="Y351">
        <v>94</v>
      </c>
      <c r="Z351">
        <v>-1381.29012714808</v>
      </c>
      <c r="AA351">
        <v>446.866216365149</v>
      </c>
      <c r="AB351">
        <v>-2384.5610334072999</v>
      </c>
      <c r="AC351">
        <v>630</v>
      </c>
      <c r="AD351">
        <v>0</v>
      </c>
      <c r="AE351">
        <v>903.23779739337704</v>
      </c>
      <c r="AF351">
        <v>-334.23758910869702</v>
      </c>
      <c r="AG351">
        <v>-6018</v>
      </c>
      <c r="AH351">
        <v>1850</v>
      </c>
      <c r="AI351">
        <v>-253.94924063885699</v>
      </c>
      <c r="AJ351">
        <v>-1045.1405209002701</v>
      </c>
      <c r="AK351">
        <v>51.206850000000003</v>
      </c>
      <c r="AL351">
        <v>524.98979566570404</v>
      </c>
      <c r="AM351">
        <v>419.55989559792602</v>
      </c>
      <c r="AN351">
        <v>463</v>
      </c>
      <c r="AO351">
        <v>316.67061790677502</v>
      </c>
      <c r="AP351">
        <v>-4947</v>
      </c>
      <c r="AQ351">
        <v>-323</v>
      </c>
      <c r="AR351">
        <v>-3227.99943901302</v>
      </c>
      <c r="AS351">
        <v>-18022.566226843999</v>
      </c>
      <c r="AT351">
        <v>660.292116296622</v>
      </c>
      <c r="AU351">
        <v>298.54664666812198</v>
      </c>
      <c r="AV351">
        <v>-2475.1745150646002</v>
      </c>
      <c r="AW351">
        <v>-1353.3426656735601</v>
      </c>
      <c r="AX351">
        <v>-1082</v>
      </c>
      <c r="AY351">
        <v>-29126.8150800002</v>
      </c>
      <c r="AZ351">
        <v>-4248.5045400002</v>
      </c>
      <c r="BA351">
        <v>-475.268399999905</v>
      </c>
      <c r="BB351">
        <v>-174.904518868395</v>
      </c>
      <c r="BC351">
        <v>1599.8052013609599</v>
      </c>
      <c r="BD351">
        <v>-188.012145111216</v>
      </c>
      <c r="BE351">
        <f t="shared" si="10"/>
        <v>-72043.246477595982</v>
      </c>
      <c r="BF351">
        <f t="shared" si="11"/>
        <v>50846617.921552874</v>
      </c>
    </row>
    <row r="352" spans="1:58" x14ac:dyDescent="0.2">
      <c r="A352" s="1">
        <v>45678</v>
      </c>
      <c r="B352">
        <v>56</v>
      </c>
      <c r="C352">
        <v>-915</v>
      </c>
      <c r="D352">
        <v>1525.91025939621</v>
      </c>
      <c r="E352">
        <v>397.81704593480498</v>
      </c>
      <c r="F352">
        <v>5577.9382941068097</v>
      </c>
      <c r="G352">
        <v>3611.99999999998</v>
      </c>
      <c r="H352">
        <v>3175.1883966872801</v>
      </c>
      <c r="I352">
        <v>-1598</v>
      </c>
      <c r="J352">
        <v>412.68526383346301</v>
      </c>
      <c r="K352">
        <v>-2720</v>
      </c>
      <c r="L352">
        <v>170.582416284857</v>
      </c>
      <c r="M352">
        <v>-327.58732903300103</v>
      </c>
      <c r="N352">
        <v>1607.89508999998</v>
      </c>
      <c r="O352">
        <v>640</v>
      </c>
      <c r="P352">
        <v>1350.0366874159699</v>
      </c>
      <c r="Q352">
        <v>650</v>
      </c>
      <c r="R352">
        <v>497.11580883187202</v>
      </c>
      <c r="S352">
        <v>168</v>
      </c>
      <c r="T352">
        <v>432</v>
      </c>
      <c r="U352">
        <v>717.32383054991203</v>
      </c>
      <c r="V352">
        <v>0</v>
      </c>
      <c r="W352">
        <v>1737.8146591995501</v>
      </c>
      <c r="X352">
        <v>1316</v>
      </c>
      <c r="Y352">
        <v>118.632907235499</v>
      </c>
      <c r="Z352">
        <v>-567</v>
      </c>
      <c r="AA352">
        <v>-140.135333223548</v>
      </c>
      <c r="AB352">
        <v>37.0737593999959</v>
      </c>
      <c r="AC352">
        <v>-29</v>
      </c>
      <c r="AD352">
        <v>0</v>
      </c>
      <c r="AE352">
        <v>-3440.7130415633601</v>
      </c>
      <c r="AF352">
        <v>145.058766764952</v>
      </c>
      <c r="AG352">
        <v>24432</v>
      </c>
      <c r="AH352">
        <v>5994</v>
      </c>
      <c r="AI352">
        <v>392.42188494190299</v>
      </c>
      <c r="AJ352">
        <v>74.963988856428799</v>
      </c>
      <c r="AK352">
        <v>-1152.9637076281999</v>
      </c>
      <c r="AL352">
        <v>-66.005794675930801</v>
      </c>
      <c r="AM352">
        <v>0</v>
      </c>
      <c r="AN352">
        <v>-102</v>
      </c>
      <c r="AO352">
        <v>130.19999999999999</v>
      </c>
      <c r="AP352">
        <v>1499.4731602970801</v>
      </c>
      <c r="AQ352">
        <v>-700.82882276313296</v>
      </c>
      <c r="AR352">
        <v>18.1742359479206</v>
      </c>
      <c r="AS352">
        <v>-1256.10074952028</v>
      </c>
      <c r="AT352">
        <v>501.83029870565201</v>
      </c>
      <c r="AU352">
        <v>-1680.9701035605401</v>
      </c>
      <c r="AV352">
        <v>4579.8968416750104</v>
      </c>
      <c r="AW352">
        <v>2001</v>
      </c>
      <c r="AX352">
        <v>-3482</v>
      </c>
      <c r="AY352">
        <v>37759.485344386398</v>
      </c>
      <c r="AZ352">
        <v>5765.8275900000299</v>
      </c>
      <c r="BA352">
        <v>-6653.7576000000199</v>
      </c>
      <c r="BB352">
        <v>334.44160819665598</v>
      </c>
      <c r="BC352">
        <v>1424.17460895605</v>
      </c>
      <c r="BD352">
        <v>-140.97123293565701</v>
      </c>
      <c r="BE352">
        <f t="shared" si="10"/>
        <v>84279.929032700587</v>
      </c>
      <c r="BF352">
        <f t="shared" si="11"/>
        <v>50930897.850585572</v>
      </c>
    </row>
    <row r="353" spans="1:58" x14ac:dyDescent="0.2">
      <c r="A353" s="1">
        <v>45679</v>
      </c>
      <c r="B353">
        <v>356</v>
      </c>
      <c r="C353">
        <v>855</v>
      </c>
      <c r="D353">
        <v>-2625</v>
      </c>
      <c r="E353">
        <v>1702.7090916412601</v>
      </c>
      <c r="F353">
        <v>2550</v>
      </c>
      <c r="G353">
        <v>643.99999999999102</v>
      </c>
      <c r="H353">
        <v>20306.630642097502</v>
      </c>
      <c r="I353">
        <v>-448</v>
      </c>
      <c r="J353">
        <v>-1929.6606008528399</v>
      </c>
      <c r="K353">
        <v>7038</v>
      </c>
      <c r="L353">
        <v>-484</v>
      </c>
      <c r="M353">
        <v>-70.200000000004295</v>
      </c>
      <c r="N353">
        <v>1610.9348200000099</v>
      </c>
      <c r="O353">
        <v>231.99999999999901</v>
      </c>
      <c r="P353">
        <v>-2730</v>
      </c>
      <c r="Q353">
        <v>-1100</v>
      </c>
      <c r="R353">
        <v>-84.154044888797998</v>
      </c>
      <c r="S353">
        <v>56</v>
      </c>
      <c r="T353">
        <v>-247</v>
      </c>
      <c r="U353">
        <v>260.21577365151597</v>
      </c>
      <c r="V353">
        <v>0</v>
      </c>
      <c r="W353">
        <v>-910</v>
      </c>
      <c r="X353">
        <v>1448.0669123534301</v>
      </c>
      <c r="Y353">
        <v>474</v>
      </c>
      <c r="Z353">
        <v>1449</v>
      </c>
      <c r="AA353">
        <v>0</v>
      </c>
      <c r="AB353">
        <v>-221.45255879999999</v>
      </c>
      <c r="AC353">
        <v>-3304</v>
      </c>
      <c r="AD353">
        <v>-2483</v>
      </c>
      <c r="AE353">
        <v>11776</v>
      </c>
      <c r="AF353">
        <v>1488.61893741021</v>
      </c>
      <c r="AG353">
        <v>8358</v>
      </c>
      <c r="AH353">
        <v>1480</v>
      </c>
      <c r="AI353">
        <v>-7.1560585529924303</v>
      </c>
      <c r="AJ353">
        <v>291.04585800887497</v>
      </c>
      <c r="AK353">
        <v>0</v>
      </c>
      <c r="AL353">
        <v>-1246</v>
      </c>
      <c r="AM353">
        <v>0</v>
      </c>
      <c r="AN353">
        <v>-284</v>
      </c>
      <c r="AO353">
        <v>66.686716882964504</v>
      </c>
      <c r="AP353">
        <v>-1125.7267088354499</v>
      </c>
      <c r="AQ353">
        <v>-2325.82805533898</v>
      </c>
      <c r="AR353">
        <v>-3760.0565024606399</v>
      </c>
      <c r="AS353">
        <v>-10754.715697854101</v>
      </c>
      <c r="AT353">
        <v>-100</v>
      </c>
      <c r="AU353">
        <v>4428.0529985733001</v>
      </c>
      <c r="AV353">
        <v>108</v>
      </c>
      <c r="AW353">
        <v>-1268.64919765835</v>
      </c>
      <c r="AX353">
        <v>-1354</v>
      </c>
      <c r="AY353">
        <v>-11201.9752226496</v>
      </c>
      <c r="AZ353">
        <v>-14158.956329999701</v>
      </c>
      <c r="BA353">
        <v>5999.7944186567602</v>
      </c>
      <c r="BB353">
        <v>171</v>
      </c>
      <c r="BC353">
        <v>-656</v>
      </c>
      <c r="BD353">
        <v>-17</v>
      </c>
      <c r="BE353">
        <f t="shared" si="10"/>
        <v>8253.2251913843647</v>
      </c>
      <c r="BF353">
        <f t="shared" si="11"/>
        <v>50939151.075776957</v>
      </c>
    </row>
    <row r="354" spans="1:58" x14ac:dyDescent="0.2">
      <c r="A354" s="1">
        <v>45680</v>
      </c>
      <c r="B354">
        <v>-702</v>
      </c>
      <c r="C354">
        <v>-3150</v>
      </c>
      <c r="D354">
        <v>-4140.7626900408704</v>
      </c>
      <c r="E354">
        <v>-2365.34009706696</v>
      </c>
      <c r="F354">
        <v>-4930</v>
      </c>
      <c r="G354">
        <v>-479.02580246526401</v>
      </c>
      <c r="H354">
        <v>20117.483378255602</v>
      </c>
      <c r="I354">
        <v>524</v>
      </c>
      <c r="J354">
        <v>4102.9922614642801</v>
      </c>
      <c r="K354">
        <v>-9069.1447371091599</v>
      </c>
      <c r="L354">
        <v>991.57443554564804</v>
      </c>
      <c r="M354">
        <v>-29.399999999997799</v>
      </c>
      <c r="N354">
        <v>-2082.8088672450499</v>
      </c>
      <c r="O354">
        <v>-185.99999999999901</v>
      </c>
      <c r="P354">
        <v>2596.7058647683798</v>
      </c>
      <c r="Q354">
        <v>-250</v>
      </c>
      <c r="R354">
        <v>-1163.45494438882</v>
      </c>
      <c r="S354">
        <v>-266</v>
      </c>
      <c r="T354">
        <v>1478</v>
      </c>
      <c r="U354">
        <v>-799</v>
      </c>
      <c r="V354">
        <v>0</v>
      </c>
      <c r="W354">
        <v>1850</v>
      </c>
      <c r="X354">
        <v>-1800.94216560976</v>
      </c>
      <c r="Y354">
        <v>-1311.4231115948801</v>
      </c>
      <c r="Z354">
        <v>-66.421084360859396</v>
      </c>
      <c r="AA354">
        <v>-10.3312763600886</v>
      </c>
      <c r="AB354">
        <v>1935.3094493999999</v>
      </c>
      <c r="AC354">
        <v>2199.7695239712002</v>
      </c>
      <c r="AD354">
        <v>878.28069009016099</v>
      </c>
      <c r="AE354">
        <v>4975.3967599950802</v>
      </c>
      <c r="AF354">
        <v>-508.32840719291301</v>
      </c>
      <c r="AG354">
        <v>7845</v>
      </c>
      <c r="AH354">
        <v>4980.0048998857801</v>
      </c>
      <c r="AI354">
        <v>660.63038033654402</v>
      </c>
      <c r="AJ354">
        <v>-646.52688333328399</v>
      </c>
      <c r="AK354">
        <v>-25.934811537966699</v>
      </c>
      <c r="AL354">
        <v>879.81129969686594</v>
      </c>
      <c r="AM354">
        <v>0</v>
      </c>
      <c r="AN354">
        <v>608</v>
      </c>
      <c r="AO354">
        <v>667.397179518249</v>
      </c>
      <c r="AP354">
        <v>1386.9941707789601</v>
      </c>
      <c r="AQ354">
        <v>2128</v>
      </c>
      <c r="AR354">
        <v>2231.31031723147</v>
      </c>
      <c r="AS354">
        <v>2321.5033135640001</v>
      </c>
      <c r="AT354">
        <v>4300</v>
      </c>
      <c r="AU354">
        <v>-7117.5731721736202</v>
      </c>
      <c r="AV354">
        <v>-720</v>
      </c>
      <c r="AW354">
        <v>-3680</v>
      </c>
      <c r="AX354">
        <v>1547.21316527357</v>
      </c>
      <c r="AY354">
        <v>4748.8396005784898</v>
      </c>
      <c r="AZ354">
        <v>7110.2966399998704</v>
      </c>
      <c r="BA354">
        <v>6640.5332000001399</v>
      </c>
      <c r="BB354">
        <v>-108.04977769747801</v>
      </c>
      <c r="BC354">
        <v>1148</v>
      </c>
      <c r="BD354">
        <v>-1071</v>
      </c>
      <c r="BE354">
        <f t="shared" si="10"/>
        <v>44173.578702177314</v>
      </c>
      <c r="BF354">
        <f t="shared" si="11"/>
        <v>50983324.654479131</v>
      </c>
    </row>
    <row r="355" spans="1:58" x14ac:dyDescent="0.2">
      <c r="A355" s="1">
        <v>45681</v>
      </c>
      <c r="B355">
        <v>220.859225219048</v>
      </c>
      <c r="C355">
        <v>-44.601263057082498</v>
      </c>
      <c r="D355">
        <v>1735.1844680768299</v>
      </c>
      <c r="E355">
        <v>1564</v>
      </c>
      <c r="F355">
        <v>-391</v>
      </c>
      <c r="G355">
        <v>1355.4566450986599</v>
      </c>
      <c r="H355">
        <v>4958.76163503105</v>
      </c>
      <c r="I355">
        <v>422.99171494037103</v>
      </c>
      <c r="J355">
        <v>224</v>
      </c>
      <c r="K355">
        <v>3600</v>
      </c>
      <c r="L355">
        <v>-471</v>
      </c>
      <c r="M355">
        <v>229.79999999999501</v>
      </c>
      <c r="N355">
        <v>5798.5436</v>
      </c>
      <c r="O355">
        <v>0</v>
      </c>
      <c r="P355">
        <v>-544</v>
      </c>
      <c r="Q355">
        <v>1050</v>
      </c>
      <c r="R355">
        <v>345</v>
      </c>
      <c r="S355">
        <v>266</v>
      </c>
      <c r="T355">
        <v>-21</v>
      </c>
      <c r="U355">
        <v>-65.430963225809293</v>
      </c>
      <c r="V355">
        <v>0</v>
      </c>
      <c r="W355">
        <v>-3105</v>
      </c>
      <c r="X355">
        <v>1584</v>
      </c>
      <c r="Y355">
        <v>1212</v>
      </c>
      <c r="Z355">
        <v>-906.23142421741102</v>
      </c>
      <c r="AA355">
        <v>551.00000000000296</v>
      </c>
      <c r="AB355">
        <v>-2414.6868213336902</v>
      </c>
      <c r="AC355">
        <v>0</v>
      </c>
      <c r="AD355">
        <v>-42</v>
      </c>
      <c r="AE355">
        <v>6698.7935199901603</v>
      </c>
      <c r="AF355">
        <v>4836.3210924676796</v>
      </c>
      <c r="AG355">
        <v>19497</v>
      </c>
      <c r="AH355">
        <v>1830.8728404544199</v>
      </c>
      <c r="AI355">
        <v>-152.369861686006</v>
      </c>
      <c r="AJ355">
        <v>947.26671404850504</v>
      </c>
      <c r="AK355">
        <v>614.25250000000005</v>
      </c>
      <c r="AL355">
        <v>65</v>
      </c>
      <c r="AM355">
        <v>0</v>
      </c>
      <c r="AN355">
        <v>-272</v>
      </c>
      <c r="AO355">
        <v>-287.03716130904598</v>
      </c>
      <c r="AP355">
        <v>-1197</v>
      </c>
      <c r="AQ355">
        <v>228</v>
      </c>
      <c r="AR355">
        <v>-1848</v>
      </c>
      <c r="AS355">
        <v>-1346.6995493593499</v>
      </c>
      <c r="AT355">
        <v>-1300</v>
      </c>
      <c r="AU355">
        <v>10679</v>
      </c>
      <c r="AV355">
        <v>-1872</v>
      </c>
      <c r="AW355">
        <v>640</v>
      </c>
      <c r="AX355">
        <v>-690</v>
      </c>
      <c r="AY355">
        <v>-6314.4091399998897</v>
      </c>
      <c r="AZ355">
        <v>-11146.98726</v>
      </c>
      <c r="BA355">
        <v>-5587.1275200001101</v>
      </c>
      <c r="BB355">
        <v>312</v>
      </c>
      <c r="BC355">
        <v>-902</v>
      </c>
      <c r="BD355">
        <v>17</v>
      </c>
      <c r="BE355">
        <f t="shared" si="10"/>
        <v>30562.522991138336</v>
      </c>
      <c r="BF355">
        <f t="shared" si="11"/>
        <v>51013887.177470267</v>
      </c>
    </row>
    <row r="356" spans="1:58" x14ac:dyDescent="0.2">
      <c r="A356" s="1">
        <v>45684</v>
      </c>
      <c r="B356">
        <v>386</v>
      </c>
      <c r="C356">
        <v>-305.601340459418</v>
      </c>
      <c r="D356">
        <v>897</v>
      </c>
      <c r="E356">
        <v>-4184.1521084679298</v>
      </c>
      <c r="F356">
        <v>-5576</v>
      </c>
      <c r="G356">
        <v>1301.91476398288</v>
      </c>
      <c r="H356">
        <v>-9437.5000277577801</v>
      </c>
      <c r="I356">
        <v>0</v>
      </c>
      <c r="J356">
        <v>-532</v>
      </c>
      <c r="K356">
        <v>-7380</v>
      </c>
      <c r="L356">
        <v>789</v>
      </c>
      <c r="M356">
        <v>-886.199999999993</v>
      </c>
      <c r="N356">
        <v>-6780.1884</v>
      </c>
      <c r="O356">
        <v>0</v>
      </c>
      <c r="P356">
        <v>1520</v>
      </c>
      <c r="Q356">
        <v>950</v>
      </c>
      <c r="R356">
        <v>-1518</v>
      </c>
      <c r="S356">
        <v>224</v>
      </c>
      <c r="T356">
        <v>526.86852217644298</v>
      </c>
      <c r="U356">
        <v>-1265.7682394634401</v>
      </c>
      <c r="V356">
        <v>0</v>
      </c>
      <c r="W356">
        <v>1844.6263536075001</v>
      </c>
      <c r="X356">
        <v>-1911.91282416633</v>
      </c>
      <c r="Y356">
        <v>-1593</v>
      </c>
      <c r="Z356">
        <v>335</v>
      </c>
      <c r="AA356">
        <v>-1382</v>
      </c>
      <c r="AB356">
        <v>-2187.7407903999901</v>
      </c>
      <c r="AC356">
        <v>0</v>
      </c>
      <c r="AD356">
        <v>138</v>
      </c>
      <c r="AE356">
        <v>-10743.360522721499</v>
      </c>
      <c r="AF356">
        <v>-1331.3515401504801</v>
      </c>
      <c r="AG356">
        <v>-5163</v>
      </c>
      <c r="AH356">
        <v>1451.4745242147101</v>
      </c>
      <c r="AI356">
        <v>2036.4100988136499</v>
      </c>
      <c r="AJ356">
        <v>-1163.6332042487199</v>
      </c>
      <c r="AK356">
        <v>-982.63599999999997</v>
      </c>
      <c r="AL356">
        <v>555</v>
      </c>
      <c r="AM356">
        <v>0</v>
      </c>
      <c r="AN356">
        <v>557</v>
      </c>
      <c r="AO356">
        <v>388.45919455779398</v>
      </c>
      <c r="AP356">
        <v>523.05157258753502</v>
      </c>
      <c r="AQ356">
        <v>1805</v>
      </c>
      <c r="AR356">
        <v>1578.81876183451</v>
      </c>
      <c r="AS356">
        <v>1852</v>
      </c>
      <c r="AT356">
        <v>1850.53546343166</v>
      </c>
      <c r="AU356">
        <v>-66.849266255493106</v>
      </c>
      <c r="AV356">
        <v>288</v>
      </c>
      <c r="AW356">
        <v>-741.76588425709599</v>
      </c>
      <c r="AX356">
        <v>-345.80635161332299</v>
      </c>
      <c r="AY356">
        <v>0</v>
      </c>
      <c r="AZ356">
        <v>-23641.256408805599</v>
      </c>
      <c r="BA356">
        <v>-14326.957060000001</v>
      </c>
      <c r="BB356">
        <v>-582</v>
      </c>
      <c r="BC356">
        <v>-41</v>
      </c>
      <c r="BD356">
        <v>-988.93700733901301</v>
      </c>
      <c r="BE356">
        <f t="shared" si="10"/>
        <v>-83260.457720899431</v>
      </c>
      <c r="BF356">
        <f t="shared" si="11"/>
        <v>50930626.719749369</v>
      </c>
    </row>
    <row r="357" spans="1:58" x14ac:dyDescent="0.2">
      <c r="A357" s="1">
        <v>45685</v>
      </c>
      <c r="B357">
        <v>-266.19879599058999</v>
      </c>
      <c r="C357">
        <v>88.807465782968507</v>
      </c>
      <c r="D357">
        <v>-5083</v>
      </c>
      <c r="E357">
        <v>3213</v>
      </c>
      <c r="F357">
        <v>996.44256880827504</v>
      </c>
      <c r="G357">
        <v>2242.43122644914</v>
      </c>
      <c r="H357">
        <v>11061.6464</v>
      </c>
      <c r="I357">
        <v>0</v>
      </c>
      <c r="J357">
        <v>238</v>
      </c>
      <c r="K357">
        <v>6994.9331195407503</v>
      </c>
      <c r="L357">
        <v>-624</v>
      </c>
      <c r="M357">
        <v>-253.83039923499001</v>
      </c>
      <c r="N357">
        <v>58.958160000035697</v>
      </c>
      <c r="O357">
        <v>36.0000000000013</v>
      </c>
      <c r="P357">
        <v>-1520</v>
      </c>
      <c r="Q357">
        <v>-450</v>
      </c>
      <c r="R357">
        <v>759</v>
      </c>
      <c r="S357">
        <v>-100.37049044722301</v>
      </c>
      <c r="T357">
        <v>-1313.89554857545</v>
      </c>
      <c r="U357">
        <v>736.93788282836795</v>
      </c>
      <c r="V357">
        <v>0</v>
      </c>
      <c r="W357">
        <v>-207</v>
      </c>
      <c r="X357">
        <v>651</v>
      </c>
      <c r="Y357">
        <v>1281</v>
      </c>
      <c r="Z357">
        <v>3953</v>
      </c>
      <c r="AA357">
        <v>826.00000000000296</v>
      </c>
      <c r="AB357">
        <v>-1593.0195011923699</v>
      </c>
      <c r="AC357">
        <v>0</v>
      </c>
      <c r="AD357">
        <v>630</v>
      </c>
      <c r="AE357">
        <v>10434</v>
      </c>
      <c r="AF357">
        <v>450.34276114883897</v>
      </c>
      <c r="AG357">
        <v>9171</v>
      </c>
      <c r="AH357">
        <v>-957.03784369332402</v>
      </c>
      <c r="AI357">
        <v>171.24164466022199</v>
      </c>
      <c r="AJ357">
        <v>1040</v>
      </c>
      <c r="AK357">
        <v>736.97699999999998</v>
      </c>
      <c r="AL357">
        <v>-195</v>
      </c>
      <c r="AM357">
        <v>0</v>
      </c>
      <c r="AN357">
        <v>-237</v>
      </c>
      <c r="AO357">
        <v>-1413.49891271142</v>
      </c>
      <c r="AP357">
        <v>-342</v>
      </c>
      <c r="AQ357">
        <v>-2485.3704653824302</v>
      </c>
      <c r="AR357">
        <v>-264</v>
      </c>
      <c r="AS357">
        <v>-938</v>
      </c>
      <c r="AT357">
        <v>-2080.6306379160201</v>
      </c>
      <c r="AU357">
        <v>6535.68394220963</v>
      </c>
      <c r="AV357">
        <v>-108</v>
      </c>
      <c r="AW357">
        <v>1295.73909498282</v>
      </c>
      <c r="AX357">
        <v>-12.7880406996556</v>
      </c>
      <c r="AY357">
        <v>5066.6838299998299</v>
      </c>
      <c r="AZ357">
        <v>25175.143952343798</v>
      </c>
      <c r="BA357">
        <v>11327.980337720501</v>
      </c>
      <c r="BB357">
        <v>36</v>
      </c>
      <c r="BC357">
        <v>-1435</v>
      </c>
      <c r="BD357">
        <v>684.86647634947701</v>
      </c>
      <c r="BE357">
        <f t="shared" si="10"/>
        <v>84013.17522698117</v>
      </c>
      <c r="BF357">
        <f t="shared" si="11"/>
        <v>51014639.894976348</v>
      </c>
    </row>
    <row r="358" spans="1:58" x14ac:dyDescent="0.2">
      <c r="A358" s="1">
        <v>45686</v>
      </c>
      <c r="B358">
        <v>-1072</v>
      </c>
      <c r="C358">
        <v>-91.443497144254593</v>
      </c>
      <c r="D358">
        <v>202.21819663318001</v>
      </c>
      <c r="E358">
        <v>-1071</v>
      </c>
      <c r="F358">
        <v>639.720332402949</v>
      </c>
      <c r="G358">
        <v>-789.08297934032203</v>
      </c>
      <c r="H358">
        <v>25898.4614429709</v>
      </c>
      <c r="I358">
        <v>-20.042734644931699</v>
      </c>
      <c r="J358">
        <v>224</v>
      </c>
      <c r="K358">
        <v>3162</v>
      </c>
      <c r="L358">
        <v>177</v>
      </c>
      <c r="M358">
        <v>-26.010231215537399</v>
      </c>
      <c r="N358">
        <v>1379.27439999998</v>
      </c>
      <c r="O358">
        <v>346</v>
      </c>
      <c r="P358">
        <v>-5248</v>
      </c>
      <c r="Q358">
        <v>-610.60905265012104</v>
      </c>
      <c r="R358">
        <v>2139</v>
      </c>
      <c r="S358">
        <v>896.58725270252796</v>
      </c>
      <c r="T358">
        <v>-27</v>
      </c>
      <c r="U358">
        <v>48</v>
      </c>
      <c r="V358">
        <v>0</v>
      </c>
      <c r="W358">
        <v>888</v>
      </c>
      <c r="X358">
        <v>-217</v>
      </c>
      <c r="Y358">
        <v>957</v>
      </c>
      <c r="Z358">
        <v>-1827.78878957808</v>
      </c>
      <c r="AA358">
        <v>185</v>
      </c>
      <c r="AB358">
        <v>-763.33166687231198</v>
      </c>
      <c r="AC358">
        <v>0</v>
      </c>
      <c r="AD358">
        <v>-498</v>
      </c>
      <c r="AE358">
        <v>-666</v>
      </c>
      <c r="AF358">
        <v>-603.63393399923302</v>
      </c>
      <c r="AG358">
        <v>-1969.7138713049601</v>
      </c>
      <c r="AH358">
        <v>-3460.2028914060502</v>
      </c>
      <c r="AI358">
        <v>-8.9653824827230508</v>
      </c>
      <c r="AJ358">
        <v>388.23531505065</v>
      </c>
      <c r="AK358">
        <v>315.67899999999997</v>
      </c>
      <c r="AL358">
        <v>125</v>
      </c>
      <c r="AM358">
        <v>0</v>
      </c>
      <c r="AN358">
        <v>-279</v>
      </c>
      <c r="AO358">
        <v>70.800000000002598</v>
      </c>
      <c r="AP358">
        <v>-102.027829277192</v>
      </c>
      <c r="AQ358">
        <v>1702</v>
      </c>
      <c r="AR358">
        <v>110</v>
      </c>
      <c r="AS358">
        <v>410</v>
      </c>
      <c r="AT358">
        <v>462</v>
      </c>
      <c r="AU358">
        <v>13159.0633157377</v>
      </c>
      <c r="AV358">
        <v>-1620</v>
      </c>
      <c r="AW358">
        <v>980</v>
      </c>
      <c r="AX358">
        <v>423</v>
      </c>
      <c r="AY358">
        <v>0</v>
      </c>
      <c r="AZ358">
        <v>0</v>
      </c>
      <c r="BA358">
        <v>-3996.4288000000502</v>
      </c>
      <c r="BB358">
        <v>42</v>
      </c>
      <c r="BC358">
        <v>-2296</v>
      </c>
      <c r="BD358">
        <v>368</v>
      </c>
      <c r="BE358">
        <f t="shared" si="10"/>
        <v>28434.757595582127</v>
      </c>
      <c r="BF358">
        <f t="shared" si="11"/>
        <v>51043074.652571931</v>
      </c>
    </row>
    <row r="359" spans="1:58" x14ac:dyDescent="0.2">
      <c r="A359" s="1">
        <v>45687</v>
      </c>
      <c r="B359">
        <v>-84</v>
      </c>
      <c r="C359">
        <v>-423</v>
      </c>
      <c r="D359">
        <v>378.76732053737999</v>
      </c>
      <c r="E359">
        <v>-1224</v>
      </c>
      <c r="F359">
        <v>-3150</v>
      </c>
      <c r="G359">
        <v>7085.9103010134304</v>
      </c>
      <c r="H359">
        <v>22140.4793535432</v>
      </c>
      <c r="I359">
        <v>923.91835863319</v>
      </c>
      <c r="J359">
        <v>-686.29264784442296</v>
      </c>
      <c r="K359">
        <v>3094</v>
      </c>
      <c r="L359">
        <v>-813</v>
      </c>
      <c r="M359">
        <v>-881.66579990541595</v>
      </c>
      <c r="N359">
        <v>9502.6826000000001</v>
      </c>
      <c r="O359">
        <v>231.99999999999901</v>
      </c>
      <c r="P359">
        <v>-351.57674709407797</v>
      </c>
      <c r="Q359">
        <v>120</v>
      </c>
      <c r="R359">
        <v>1104</v>
      </c>
      <c r="S359">
        <v>823.96156884457901</v>
      </c>
      <c r="T359">
        <v>306</v>
      </c>
      <c r="U359">
        <v>8</v>
      </c>
      <c r="V359">
        <v>0</v>
      </c>
      <c r="W359">
        <v>354</v>
      </c>
      <c r="X359">
        <v>735</v>
      </c>
      <c r="Y359">
        <v>1500</v>
      </c>
      <c r="Z359">
        <v>1472</v>
      </c>
      <c r="AA359">
        <v>305</v>
      </c>
      <c r="AB359">
        <v>-228.907346142536</v>
      </c>
      <c r="AC359">
        <v>0</v>
      </c>
      <c r="AD359">
        <v>-540</v>
      </c>
      <c r="AE359">
        <v>-1406</v>
      </c>
      <c r="AF359">
        <v>-1125.63005764133</v>
      </c>
      <c r="AG359">
        <v>11840</v>
      </c>
      <c r="AH359">
        <v>1349.6147992895201</v>
      </c>
      <c r="AI359">
        <v>-1376.14733206966</v>
      </c>
      <c r="AJ359">
        <v>2678.7508871660598</v>
      </c>
      <c r="AK359">
        <v>685.76059999999995</v>
      </c>
      <c r="AL359">
        <v>210</v>
      </c>
      <c r="AM359">
        <v>0</v>
      </c>
      <c r="AN359">
        <v>-119</v>
      </c>
      <c r="AO359">
        <v>128.35377585074801</v>
      </c>
      <c r="AP359">
        <v>-41.248907783425402</v>
      </c>
      <c r="AQ359">
        <v>-2461</v>
      </c>
      <c r="AR359">
        <v>-154</v>
      </c>
      <c r="AS359">
        <v>-336</v>
      </c>
      <c r="AT359">
        <v>-2156</v>
      </c>
      <c r="AU359">
        <v>6458.5502954664998</v>
      </c>
      <c r="AV359">
        <v>-929.91247120520302</v>
      </c>
      <c r="AW359">
        <v>-49</v>
      </c>
      <c r="AX359">
        <v>1244.14786383459</v>
      </c>
      <c r="AY359">
        <v>1682.60599000001</v>
      </c>
      <c r="AZ359">
        <v>2335.8671999999501</v>
      </c>
      <c r="BA359">
        <v>-6469.1404800001401</v>
      </c>
      <c r="BB359">
        <v>-150</v>
      </c>
      <c r="BC359">
        <v>-750.658290363476</v>
      </c>
      <c r="BD359">
        <v>20</v>
      </c>
      <c r="BE359">
        <f t="shared" si="10"/>
        <v>52813.190834129469</v>
      </c>
      <c r="BF359">
        <f t="shared" si="11"/>
        <v>51095887.843406059</v>
      </c>
    </row>
    <row r="360" spans="1:58" x14ac:dyDescent="0.2">
      <c r="A360" s="1">
        <v>45688</v>
      </c>
      <c r="B360">
        <v>1296</v>
      </c>
      <c r="C360">
        <v>150</v>
      </c>
      <c r="D360">
        <v>333.00762129299602</v>
      </c>
      <c r="E360">
        <v>-612</v>
      </c>
      <c r="F360">
        <v>-2994.8550201698499</v>
      </c>
      <c r="G360">
        <v>-6889.1603042443603</v>
      </c>
      <c r="H360">
        <v>3903.85058559245</v>
      </c>
      <c r="I360">
        <v>-574.07389182678105</v>
      </c>
      <c r="J360">
        <v>-1098</v>
      </c>
      <c r="K360">
        <v>-6348.9227070332799</v>
      </c>
      <c r="L360">
        <v>72</v>
      </c>
      <c r="M360">
        <v>-1489.5999999999899</v>
      </c>
      <c r="N360">
        <v>-39.205040000053401</v>
      </c>
      <c r="O360">
        <v>-56.000000000000902</v>
      </c>
      <c r="P360">
        <v>309.96850813037003</v>
      </c>
      <c r="Q360">
        <v>480</v>
      </c>
      <c r="R360">
        <v>-2106.3018173160999</v>
      </c>
      <c r="S360">
        <v>-3065.5711820439001</v>
      </c>
      <c r="T360">
        <v>2103</v>
      </c>
      <c r="U360">
        <v>-106</v>
      </c>
      <c r="V360">
        <v>0</v>
      </c>
      <c r="W360">
        <v>-633</v>
      </c>
      <c r="X360">
        <v>-1540</v>
      </c>
      <c r="Y360">
        <v>-1344.5701964288301</v>
      </c>
      <c r="Z360">
        <v>-2228.1838894109401</v>
      </c>
      <c r="AA360">
        <v>-453.00000000000102</v>
      </c>
      <c r="AB360">
        <v>-713.22137036345805</v>
      </c>
      <c r="AC360">
        <v>0</v>
      </c>
      <c r="AD360">
        <v>234</v>
      </c>
      <c r="AE360">
        <v>666</v>
      </c>
      <c r="AF360">
        <v>-2235</v>
      </c>
      <c r="AG360">
        <v>-6636</v>
      </c>
      <c r="AH360">
        <v>3440.3802399248102</v>
      </c>
      <c r="AI360">
        <v>3075</v>
      </c>
      <c r="AJ360">
        <v>-248.95262943057699</v>
      </c>
      <c r="AK360">
        <v>-638.25965102088196</v>
      </c>
      <c r="AL360">
        <v>355.99261792411301</v>
      </c>
      <c r="AM360">
        <v>0</v>
      </c>
      <c r="AN360">
        <v>300</v>
      </c>
      <c r="AO360">
        <v>278.39999999999702</v>
      </c>
      <c r="AP360">
        <v>-40</v>
      </c>
      <c r="AQ360">
        <v>1771</v>
      </c>
      <c r="AR360">
        <v>198</v>
      </c>
      <c r="AS360">
        <v>858</v>
      </c>
      <c r="AT360">
        <v>3080</v>
      </c>
      <c r="AU360">
        <v>-1618.64231357119</v>
      </c>
      <c r="AV360">
        <v>1418.9251531187799</v>
      </c>
      <c r="AW360">
        <v>-1323</v>
      </c>
      <c r="AX360">
        <v>-1646.8633488123201</v>
      </c>
      <c r="AY360">
        <v>4957.1485600000397</v>
      </c>
      <c r="AZ360">
        <v>0</v>
      </c>
      <c r="BA360">
        <v>2798.3970913015</v>
      </c>
      <c r="BB360">
        <v>-222</v>
      </c>
      <c r="BC360">
        <v>1053.3470987104899</v>
      </c>
      <c r="BD360">
        <v>-186.19160413249799</v>
      </c>
      <c r="BE360">
        <f t="shared" si="10"/>
        <v>-13954.157489809464</v>
      </c>
      <c r="BF360">
        <f t="shared" si="11"/>
        <v>51081933.685916252</v>
      </c>
    </row>
    <row r="361" spans="1:58" x14ac:dyDescent="0.2">
      <c r="A361" s="1">
        <v>45691</v>
      </c>
      <c r="B361">
        <v>2072</v>
      </c>
      <c r="C361">
        <v>393</v>
      </c>
      <c r="D361">
        <v>1304</v>
      </c>
      <c r="E361">
        <v>-1071</v>
      </c>
      <c r="F361">
        <v>-2528.3903833684499</v>
      </c>
      <c r="G361">
        <v>5473.99999999998</v>
      </c>
      <c r="H361">
        <v>-34105.9928267695</v>
      </c>
      <c r="I361">
        <v>2535</v>
      </c>
      <c r="J361">
        <v>4680</v>
      </c>
      <c r="K361">
        <v>-4032</v>
      </c>
      <c r="L361">
        <v>321.64879419940797</v>
      </c>
      <c r="M361">
        <v>-256.5</v>
      </c>
      <c r="N361">
        <v>-78.248559999928801</v>
      </c>
      <c r="O361">
        <v>0</v>
      </c>
      <c r="P361">
        <v>0</v>
      </c>
      <c r="Q361">
        <v>-430.53057239053902</v>
      </c>
      <c r="R361">
        <v>0</v>
      </c>
      <c r="S361">
        <v>-724</v>
      </c>
      <c r="T361">
        <v>4122.9989891537898</v>
      </c>
      <c r="U361">
        <v>-102</v>
      </c>
      <c r="V361">
        <v>0</v>
      </c>
      <c r="W361">
        <v>993</v>
      </c>
      <c r="X361">
        <v>-3710</v>
      </c>
      <c r="Y361">
        <v>-724</v>
      </c>
      <c r="Z361">
        <v>-2254</v>
      </c>
      <c r="AA361">
        <v>-528.99999999999602</v>
      </c>
      <c r="AB361">
        <v>2667.0589497327001</v>
      </c>
      <c r="AC361">
        <v>-71.080405661380496</v>
      </c>
      <c r="AD361">
        <v>156</v>
      </c>
      <c r="AE361">
        <v>-6076.26556650981</v>
      </c>
      <c r="AF361">
        <v>-2370</v>
      </c>
      <c r="AG361">
        <v>5836</v>
      </c>
      <c r="AH361">
        <v>11431.6152596784</v>
      </c>
      <c r="AI361">
        <v>1916.2845828752199</v>
      </c>
      <c r="AJ361">
        <v>51.5732942712498</v>
      </c>
      <c r="AK361">
        <v>-782.48559999999998</v>
      </c>
      <c r="AL361">
        <v>427.35037754691098</v>
      </c>
      <c r="AM361">
        <v>0</v>
      </c>
      <c r="AN361">
        <v>163</v>
      </c>
      <c r="AO361">
        <v>788.79999999999404</v>
      </c>
      <c r="AP361">
        <v>-310</v>
      </c>
      <c r="AQ361">
        <v>805</v>
      </c>
      <c r="AR361">
        <v>528</v>
      </c>
      <c r="AS361">
        <v>-478</v>
      </c>
      <c r="AT361">
        <v>-814.48535135353495</v>
      </c>
      <c r="AU361">
        <v>-19949.348011507402</v>
      </c>
      <c r="AV361">
        <v>-1560</v>
      </c>
      <c r="AW361">
        <v>-637</v>
      </c>
      <c r="AX361">
        <v>501</v>
      </c>
      <c r="AY361">
        <v>10585.863600000001</v>
      </c>
      <c r="AZ361">
        <v>9085.1855400000695</v>
      </c>
      <c r="BA361">
        <v>354.914559999929</v>
      </c>
      <c r="BB361">
        <v>-997.19395184237499</v>
      </c>
      <c r="BC361">
        <v>78</v>
      </c>
      <c r="BD361">
        <v>-689</v>
      </c>
      <c r="BE361">
        <f t="shared" si="10"/>
        <v>-18009.227281945266</v>
      </c>
      <c r="BF361">
        <f t="shared" si="11"/>
        <v>51063924.458634309</v>
      </c>
    </row>
    <row r="362" spans="1:58" x14ac:dyDescent="0.2">
      <c r="A362" s="1">
        <v>45692</v>
      </c>
      <c r="B362">
        <v>1010.35925813443</v>
      </c>
      <c r="C362">
        <v>153</v>
      </c>
      <c r="D362">
        <v>-489</v>
      </c>
      <c r="E362">
        <v>204</v>
      </c>
      <c r="F362">
        <v>1148.79486324718</v>
      </c>
      <c r="G362">
        <v>228.47479216097599</v>
      </c>
      <c r="H362">
        <v>5098.5967354152299</v>
      </c>
      <c r="I362">
        <v>-983.06865359919402</v>
      </c>
      <c r="J362">
        <v>54.788313462064103</v>
      </c>
      <c r="K362">
        <v>432</v>
      </c>
      <c r="L362">
        <v>111</v>
      </c>
      <c r="M362">
        <v>-121.693716771325</v>
      </c>
      <c r="N362">
        <v>3066.9247400126201</v>
      </c>
      <c r="O362">
        <v>0</v>
      </c>
      <c r="P362">
        <v>0</v>
      </c>
      <c r="Q362">
        <v>630</v>
      </c>
      <c r="R362">
        <v>-1909</v>
      </c>
      <c r="S362">
        <v>-1086</v>
      </c>
      <c r="T362">
        <v>-1156.71903843375</v>
      </c>
      <c r="U362">
        <v>-50.050230785699597</v>
      </c>
      <c r="V362">
        <v>0</v>
      </c>
      <c r="W362">
        <v>624</v>
      </c>
      <c r="X362">
        <v>-1472.5187575764801</v>
      </c>
      <c r="Y362">
        <v>1212</v>
      </c>
      <c r="Z362">
        <v>294</v>
      </c>
      <c r="AA362">
        <v>-99.0000000000054</v>
      </c>
      <c r="AB362">
        <v>-728.29847219999897</v>
      </c>
      <c r="AC362">
        <v>-149</v>
      </c>
      <c r="AD362">
        <v>30</v>
      </c>
      <c r="AE362">
        <v>17325</v>
      </c>
      <c r="AF362">
        <v>45</v>
      </c>
      <c r="AG362">
        <v>9544</v>
      </c>
      <c r="AH362">
        <v>7388.7732290942104</v>
      </c>
      <c r="AI362">
        <v>2713.4970917710998</v>
      </c>
      <c r="AJ362">
        <v>958.61562556886599</v>
      </c>
      <c r="AK362">
        <v>244.52674999999999</v>
      </c>
      <c r="AL362">
        <v>677.75012536702195</v>
      </c>
      <c r="AM362">
        <v>0</v>
      </c>
      <c r="AN362">
        <v>170</v>
      </c>
      <c r="AO362">
        <v>931.25775558008297</v>
      </c>
      <c r="AP362">
        <v>-60</v>
      </c>
      <c r="AQ362">
        <v>-739.78167121967499</v>
      </c>
      <c r="AR362">
        <v>-154</v>
      </c>
      <c r="AS362">
        <v>392</v>
      </c>
      <c r="AT362">
        <v>3550.4790351459801</v>
      </c>
      <c r="AU362">
        <v>2196.6076539737401</v>
      </c>
      <c r="AV362">
        <v>1460.33962770426</v>
      </c>
      <c r="AW362">
        <v>-388.85330903763401</v>
      </c>
      <c r="AX362">
        <v>1151.16556228068</v>
      </c>
      <c r="AY362">
        <v>-20907.080610000001</v>
      </c>
      <c r="AZ362">
        <v>-9665.0910000000094</v>
      </c>
      <c r="BA362">
        <v>976.01504000012096</v>
      </c>
      <c r="BB362">
        <v>-209.59257463750899</v>
      </c>
      <c r="BC362">
        <v>247</v>
      </c>
      <c r="BD362">
        <v>-143</v>
      </c>
      <c r="BE362">
        <f t="shared" si="10"/>
        <v>23758.218164657275</v>
      </c>
      <c r="BF362">
        <f t="shared" si="11"/>
        <v>51087682.67679897</v>
      </c>
    </row>
    <row r="363" spans="1:58" x14ac:dyDescent="0.2">
      <c r="A363" s="1">
        <v>45693</v>
      </c>
      <c r="B363">
        <v>700.16565438074997</v>
      </c>
      <c r="C363">
        <v>-485.35980076287899</v>
      </c>
      <c r="D363">
        <v>978</v>
      </c>
      <c r="E363">
        <v>2601</v>
      </c>
      <c r="F363">
        <v>392</v>
      </c>
      <c r="G363">
        <v>14422.8234871204</v>
      </c>
      <c r="H363">
        <v>7580.2343600000004</v>
      </c>
      <c r="I363">
        <v>6575.7922290822198</v>
      </c>
      <c r="J363">
        <v>761.40678281801297</v>
      </c>
      <c r="K363">
        <v>3312</v>
      </c>
      <c r="L363">
        <v>-99</v>
      </c>
      <c r="M363">
        <v>619.05141282323598</v>
      </c>
      <c r="N363">
        <v>11933.230020000001</v>
      </c>
      <c r="O363">
        <v>-5.9999999999966702</v>
      </c>
      <c r="P363">
        <v>0</v>
      </c>
      <c r="Q363">
        <v>38.822499573924603</v>
      </c>
      <c r="R363">
        <v>-290.248597593309</v>
      </c>
      <c r="S363">
        <v>-1.16050973041453</v>
      </c>
      <c r="T363">
        <v>4997.1411825546502</v>
      </c>
      <c r="U363">
        <v>-200.05201046345101</v>
      </c>
      <c r="V363">
        <v>0</v>
      </c>
      <c r="W363">
        <v>-434.13922043961099</v>
      </c>
      <c r="X363">
        <v>84.288800900632907</v>
      </c>
      <c r="Y363">
        <v>-936</v>
      </c>
      <c r="Z363">
        <v>-2842</v>
      </c>
      <c r="AA363">
        <v>313.00000000000102</v>
      </c>
      <c r="AB363">
        <v>-112.136382599996</v>
      </c>
      <c r="AC363">
        <v>2040</v>
      </c>
      <c r="AD363">
        <v>168</v>
      </c>
      <c r="AE363">
        <v>-3975</v>
      </c>
      <c r="AF363">
        <v>150</v>
      </c>
      <c r="AG363">
        <v>6456</v>
      </c>
      <c r="AH363">
        <v>16855.683740107699</v>
      </c>
      <c r="AI363">
        <v>-613.62692039520698</v>
      </c>
      <c r="AJ363">
        <v>65.664390177301101</v>
      </c>
      <c r="AK363">
        <v>2348.6675499999901</v>
      </c>
      <c r="AL363">
        <v>-1589.36093267414</v>
      </c>
      <c r="AM363">
        <v>0</v>
      </c>
      <c r="AN363">
        <v>-286</v>
      </c>
      <c r="AO363">
        <v>-667.41425570173203</v>
      </c>
      <c r="AP363">
        <v>130</v>
      </c>
      <c r="AQ363">
        <v>788.26242839007898</v>
      </c>
      <c r="AR363">
        <v>1078</v>
      </c>
      <c r="AS363">
        <v>360</v>
      </c>
      <c r="AT363">
        <v>4685.7373704131496</v>
      </c>
      <c r="AU363">
        <v>-910.56605908623305</v>
      </c>
      <c r="AV363">
        <v>-207</v>
      </c>
      <c r="AW363">
        <v>-33.512365028188398</v>
      </c>
      <c r="AX363">
        <v>8744</v>
      </c>
      <c r="AY363">
        <v>-7732.44735574266</v>
      </c>
      <c r="AZ363">
        <v>-11450.393867074101</v>
      </c>
      <c r="BA363">
        <v>-19321.099699999999</v>
      </c>
      <c r="BB363">
        <v>107.11565505849001</v>
      </c>
      <c r="BC363">
        <v>104</v>
      </c>
      <c r="BD363">
        <v>713.593460792766</v>
      </c>
      <c r="BE363">
        <f t="shared" si="10"/>
        <v>47911.163046901376</v>
      </c>
      <c r="BF363">
        <f t="shared" si="11"/>
        <v>51135593.839845873</v>
      </c>
    </row>
    <row r="364" spans="1:58" x14ac:dyDescent="0.2">
      <c r="A364" s="1">
        <v>45694</v>
      </c>
      <c r="B364">
        <v>-2358.98124148951</v>
      </c>
      <c r="C364">
        <v>-330</v>
      </c>
      <c r="D364">
        <v>-211.13821831912401</v>
      </c>
      <c r="E364">
        <v>-969</v>
      </c>
      <c r="F364">
        <v>2320</v>
      </c>
      <c r="G364">
        <v>-14593.803066262601</v>
      </c>
      <c r="H364">
        <v>43978.017456000001</v>
      </c>
      <c r="I364">
        <v>-7660.3103056601103</v>
      </c>
      <c r="J364">
        <v>-2159.7277350763602</v>
      </c>
      <c r="K364">
        <v>10476</v>
      </c>
      <c r="L364">
        <v>-329</v>
      </c>
      <c r="M364">
        <v>-517.59999999999104</v>
      </c>
      <c r="N364">
        <v>-8158.5820799999701</v>
      </c>
      <c r="O364">
        <v>235.99999999999699</v>
      </c>
      <c r="P364">
        <v>0</v>
      </c>
      <c r="Q364">
        <v>-1010.38258567624</v>
      </c>
      <c r="R364">
        <v>1662.00880760516</v>
      </c>
      <c r="S364">
        <v>3762.5690095567302</v>
      </c>
      <c r="T364">
        <v>-3004.9233858279199</v>
      </c>
      <c r="U364">
        <v>-444</v>
      </c>
      <c r="V364">
        <v>0</v>
      </c>
      <c r="W364">
        <v>-132</v>
      </c>
      <c r="X364">
        <v>61.5335152549277</v>
      </c>
      <c r="Y364">
        <v>128</v>
      </c>
      <c r="Z364">
        <v>7228.1438780221497</v>
      </c>
      <c r="AA364">
        <v>864.000000000005</v>
      </c>
      <c r="AB364">
        <v>793.98374879999699</v>
      </c>
      <c r="AC364">
        <v>481</v>
      </c>
      <c r="AD364">
        <v>-126</v>
      </c>
      <c r="AE364">
        <v>-3150</v>
      </c>
      <c r="AF364">
        <v>1320</v>
      </c>
      <c r="AG364">
        <v>-9172</v>
      </c>
      <c r="AH364">
        <v>-7523.4602566424501</v>
      </c>
      <c r="AI364">
        <v>-4177.8818565213996</v>
      </c>
      <c r="AJ364">
        <v>2393.6794397398098</v>
      </c>
      <c r="AK364">
        <v>-394.13440000000003</v>
      </c>
      <c r="AL364">
        <v>-62.2301474630396</v>
      </c>
      <c r="AM364">
        <v>0</v>
      </c>
      <c r="AN364">
        <v>-737</v>
      </c>
      <c r="AO364">
        <v>-505.35041659701602</v>
      </c>
      <c r="AP364">
        <v>-80</v>
      </c>
      <c r="AQ364">
        <v>-261.20448577842399</v>
      </c>
      <c r="AR364">
        <v>-726</v>
      </c>
      <c r="AS364">
        <v>-1710</v>
      </c>
      <c r="AT364">
        <v>7.7328766338582398</v>
      </c>
      <c r="AU364">
        <v>2302.74840917966</v>
      </c>
      <c r="AV364">
        <v>-276</v>
      </c>
      <c r="AW364">
        <v>93.909234292981395</v>
      </c>
      <c r="AX364">
        <v>-7881.1273874038097</v>
      </c>
      <c r="AY364">
        <v>5327.4922283640899</v>
      </c>
      <c r="AZ364">
        <v>7660.7183830941503</v>
      </c>
      <c r="BA364">
        <v>-5014.0442843045603</v>
      </c>
      <c r="BB364">
        <v>-719.69933792677102</v>
      </c>
      <c r="BC364">
        <v>-286</v>
      </c>
      <c r="BD364">
        <v>640</v>
      </c>
      <c r="BE364">
        <f t="shared" si="10"/>
        <v>7055.9557955942164</v>
      </c>
      <c r="BF364">
        <f t="shared" si="11"/>
        <v>51142649.795641467</v>
      </c>
    </row>
    <row r="365" spans="1:58" x14ac:dyDescent="0.2">
      <c r="A365" s="1">
        <v>45695</v>
      </c>
      <c r="B365">
        <v>-213.803137612608</v>
      </c>
      <c r="C365">
        <v>275</v>
      </c>
      <c r="D365">
        <v>359.49147798838101</v>
      </c>
      <c r="E365">
        <v>-357</v>
      </c>
      <c r="F365">
        <v>-1952</v>
      </c>
      <c r="G365">
        <v>-1679.99999999996</v>
      </c>
      <c r="H365">
        <v>5664.79936</v>
      </c>
      <c r="I365">
        <v>-1032</v>
      </c>
      <c r="J365">
        <v>-2145</v>
      </c>
      <c r="K365">
        <v>-3360.3733787554802</v>
      </c>
      <c r="L365">
        <v>-12</v>
      </c>
      <c r="M365">
        <v>-587.17756411675805</v>
      </c>
      <c r="N365">
        <v>9295.6708799999706</v>
      </c>
      <c r="O365">
        <v>865.99999999999898</v>
      </c>
      <c r="P365">
        <v>0</v>
      </c>
      <c r="Q365">
        <v>0</v>
      </c>
      <c r="R365">
        <v>-2232</v>
      </c>
      <c r="S365">
        <v>-1155</v>
      </c>
      <c r="T365">
        <v>224</v>
      </c>
      <c r="U365">
        <v>156</v>
      </c>
      <c r="V365">
        <v>0</v>
      </c>
      <c r="W365">
        <v>159.95715044615901</v>
      </c>
      <c r="X365">
        <v>-15.066433116621599</v>
      </c>
      <c r="Y365">
        <v>-1028</v>
      </c>
      <c r="Z365">
        <v>-3003</v>
      </c>
      <c r="AA365">
        <v>-235</v>
      </c>
      <c r="AB365">
        <v>540.090244799998</v>
      </c>
      <c r="AC365">
        <v>-412</v>
      </c>
      <c r="AD365">
        <v>-282</v>
      </c>
      <c r="AE365">
        <v>0</v>
      </c>
      <c r="AF365">
        <v>-450</v>
      </c>
      <c r="AG365">
        <v>6360</v>
      </c>
      <c r="AH365">
        <v>20412</v>
      </c>
      <c r="AI365">
        <v>-3150</v>
      </c>
      <c r="AJ365">
        <v>-4298.96594153966</v>
      </c>
      <c r="AK365">
        <v>-172.71834306364201</v>
      </c>
      <c r="AL365">
        <v>36.795411772256898</v>
      </c>
      <c r="AM365">
        <v>0</v>
      </c>
      <c r="AN365">
        <v>143</v>
      </c>
      <c r="AO365">
        <v>255</v>
      </c>
      <c r="AP365">
        <v>-200</v>
      </c>
      <c r="AQ365">
        <v>1196.5713506657501</v>
      </c>
      <c r="AR365">
        <v>352</v>
      </c>
      <c r="AS365">
        <v>1032</v>
      </c>
      <c r="AT365">
        <v>4467.3137464056099</v>
      </c>
      <c r="AU365">
        <v>-1055</v>
      </c>
      <c r="AV365">
        <v>-1725</v>
      </c>
      <c r="AW365">
        <v>120</v>
      </c>
      <c r="AX365">
        <v>65</v>
      </c>
      <c r="AY365">
        <v>-3588.6480000000201</v>
      </c>
      <c r="AZ365">
        <v>-782.27207999991299</v>
      </c>
      <c r="BA365">
        <v>-917.50224992110998</v>
      </c>
      <c r="BB365">
        <v>3372.16015688476</v>
      </c>
      <c r="BC365">
        <v>247</v>
      </c>
      <c r="BD365">
        <v>247.378987252168</v>
      </c>
      <c r="BE365">
        <f t="shared" si="10"/>
        <v>19805.701638089278</v>
      </c>
      <c r="BF365">
        <f t="shared" si="11"/>
        <v>51162455.497279555</v>
      </c>
    </row>
    <row r="366" spans="1:58" x14ac:dyDescent="0.2">
      <c r="A366" s="1">
        <v>45698</v>
      </c>
      <c r="B366">
        <v>-3308.73216860598</v>
      </c>
      <c r="C366">
        <v>-1892</v>
      </c>
      <c r="D366">
        <v>6501.2510684922599</v>
      </c>
      <c r="E366">
        <v>3570</v>
      </c>
      <c r="F366">
        <v>2192</v>
      </c>
      <c r="G366">
        <v>12431.9999999999</v>
      </c>
      <c r="H366">
        <v>2437.4811439999999</v>
      </c>
      <c r="I366">
        <v>10944</v>
      </c>
      <c r="J366">
        <v>-3300</v>
      </c>
      <c r="K366">
        <v>1948.6599040733399</v>
      </c>
      <c r="L366">
        <v>-171.34174503918001</v>
      </c>
      <c r="M366">
        <v>-103.527919590013</v>
      </c>
      <c r="N366">
        <v>5807.3891400000202</v>
      </c>
      <c r="O366">
        <v>-928.078450909651</v>
      </c>
      <c r="P366">
        <v>0</v>
      </c>
      <c r="Q366">
        <v>-1540</v>
      </c>
      <c r="R366">
        <v>265.18293240983098</v>
      </c>
      <c r="S366">
        <v>825</v>
      </c>
      <c r="T366">
        <v>-623</v>
      </c>
      <c r="U366">
        <v>-1056</v>
      </c>
      <c r="V366">
        <v>0</v>
      </c>
      <c r="W366">
        <v>-3300.3206860671498</v>
      </c>
      <c r="X366">
        <v>-97.061531836447301</v>
      </c>
      <c r="Y366">
        <v>1852</v>
      </c>
      <c r="Z366">
        <v>91</v>
      </c>
      <c r="AA366">
        <v>918.99999999999602</v>
      </c>
      <c r="AB366">
        <v>291.58703153202902</v>
      </c>
      <c r="AC366">
        <v>5424</v>
      </c>
      <c r="AD366">
        <v>-132</v>
      </c>
      <c r="AE366">
        <v>1200</v>
      </c>
      <c r="AF366">
        <v>2490</v>
      </c>
      <c r="AG366">
        <v>6856</v>
      </c>
      <c r="AH366">
        <v>22680</v>
      </c>
      <c r="AI366">
        <v>3900</v>
      </c>
      <c r="AJ366">
        <v>4692</v>
      </c>
      <c r="AK366">
        <v>3720.8146499999998</v>
      </c>
      <c r="AL366">
        <v>-3096.7685064462098</v>
      </c>
      <c r="AM366">
        <v>0</v>
      </c>
      <c r="AN366">
        <v>-714</v>
      </c>
      <c r="AO366">
        <v>-596.31259130236595</v>
      </c>
      <c r="AP366">
        <v>91.002277678446504</v>
      </c>
      <c r="AQ366">
        <v>941.59821592361095</v>
      </c>
      <c r="AR366">
        <v>-137.43446177356</v>
      </c>
      <c r="AS366">
        <v>-574</v>
      </c>
      <c r="AT366">
        <v>11640.596689588399</v>
      </c>
      <c r="AU366">
        <v>6119</v>
      </c>
      <c r="AV366">
        <v>864.51691254413902</v>
      </c>
      <c r="AW366">
        <v>-492</v>
      </c>
      <c r="AX366">
        <v>5950</v>
      </c>
      <c r="AY366">
        <v>1521.4259200000399</v>
      </c>
      <c r="AZ366">
        <v>6318.8714400000199</v>
      </c>
      <c r="BA366">
        <v>269.97626561995702</v>
      </c>
      <c r="BB366">
        <v>-2278.2210701977501</v>
      </c>
      <c r="BC366">
        <v>-189.317052080027</v>
      </c>
      <c r="BD366">
        <v>636.56295373345699</v>
      </c>
      <c r="BE366">
        <f t="shared" si="10"/>
        <v>110862.80036174711</v>
      </c>
      <c r="BF366">
        <f t="shared" si="11"/>
        <v>51273318.2976413</v>
      </c>
    </row>
    <row r="367" spans="1:58" x14ac:dyDescent="0.2">
      <c r="A367" s="1">
        <v>45699</v>
      </c>
      <c r="B367">
        <v>-2115</v>
      </c>
      <c r="C367">
        <v>440</v>
      </c>
      <c r="D367">
        <v>-1136.54723785231</v>
      </c>
      <c r="E367">
        <v>1070.20554066867</v>
      </c>
      <c r="F367">
        <v>-864</v>
      </c>
      <c r="G367">
        <v>10527.9999999999</v>
      </c>
      <c r="H367">
        <v>8182.9724120000001</v>
      </c>
      <c r="I367">
        <v>2928</v>
      </c>
      <c r="J367">
        <v>3168</v>
      </c>
      <c r="K367">
        <v>-2468.9180735356099</v>
      </c>
      <c r="L367">
        <v>-168.346091149274</v>
      </c>
      <c r="M367">
        <v>-1928.60281561531</v>
      </c>
      <c r="N367">
        <v>-335.64592597049699</v>
      </c>
      <c r="O367">
        <v>1304.99999999999</v>
      </c>
      <c r="P367">
        <v>0</v>
      </c>
      <c r="Q367">
        <v>110</v>
      </c>
      <c r="R367">
        <v>-233.134243824029</v>
      </c>
      <c r="S367">
        <v>-1815</v>
      </c>
      <c r="T367">
        <v>199.46060645881099</v>
      </c>
      <c r="U367">
        <v>-1344</v>
      </c>
      <c r="V367">
        <v>0</v>
      </c>
      <c r="W367">
        <v>-2408</v>
      </c>
      <c r="X367">
        <v>24</v>
      </c>
      <c r="Y367">
        <v>2168</v>
      </c>
      <c r="Z367">
        <v>1092</v>
      </c>
      <c r="AA367">
        <v>-71.999999999998096</v>
      </c>
      <c r="AB367">
        <v>1372.6121614860299</v>
      </c>
      <c r="AC367">
        <v>790</v>
      </c>
      <c r="AD367">
        <v>-909.59139738025999</v>
      </c>
      <c r="AE367">
        <v>-10575</v>
      </c>
      <c r="AF367">
        <v>825</v>
      </c>
      <c r="AG367">
        <v>4567.1440776040499</v>
      </c>
      <c r="AH367">
        <v>-7182</v>
      </c>
      <c r="AI367">
        <v>0</v>
      </c>
      <c r="AJ367">
        <v>-2051.6282917375202</v>
      </c>
      <c r="AK367">
        <v>120.43419795008001</v>
      </c>
      <c r="AL367">
        <v>-1798</v>
      </c>
      <c r="AM367">
        <v>-21.675315284560401</v>
      </c>
      <c r="AN367">
        <v>12.6566803879199</v>
      </c>
      <c r="AO367">
        <v>-1118</v>
      </c>
      <c r="AP367">
        <v>-56.775603052327</v>
      </c>
      <c r="AQ367">
        <v>-2230.76892781877</v>
      </c>
      <c r="AR367">
        <v>-98.717002685300997</v>
      </c>
      <c r="AS367">
        <v>694.21059116477102</v>
      </c>
      <c r="AT367">
        <v>-8366.3327501915101</v>
      </c>
      <c r="AU367">
        <v>-211</v>
      </c>
      <c r="AV367">
        <v>-798</v>
      </c>
      <c r="AW367">
        <v>-239.71025239086501</v>
      </c>
      <c r="AX367">
        <v>4345</v>
      </c>
      <c r="AY367">
        <v>47.544559999994704</v>
      </c>
      <c r="AZ367">
        <v>0</v>
      </c>
      <c r="BA367">
        <v>2328.9056796823302</v>
      </c>
      <c r="BB367">
        <v>-2064.5613903278299</v>
      </c>
      <c r="BC367">
        <v>117.254877643626</v>
      </c>
      <c r="BD367">
        <v>523.42783680395701</v>
      </c>
      <c r="BE367">
        <f t="shared" si="10"/>
        <v>-5651.1260969658415</v>
      </c>
      <c r="BF367">
        <f t="shared" si="11"/>
        <v>51267667.171544336</v>
      </c>
    </row>
    <row r="368" spans="1:58" x14ac:dyDescent="0.2">
      <c r="A368" s="1">
        <v>45700</v>
      </c>
      <c r="B368">
        <v>-495</v>
      </c>
      <c r="C368">
        <v>18.18</v>
      </c>
      <c r="D368">
        <v>2298.42</v>
      </c>
      <c r="E368">
        <v>-549.20000000000005</v>
      </c>
      <c r="F368">
        <v>-288</v>
      </c>
      <c r="G368">
        <v>14728</v>
      </c>
      <c r="H368">
        <v>28175.927675999999</v>
      </c>
      <c r="I368">
        <v>11994</v>
      </c>
      <c r="J368">
        <v>-561</v>
      </c>
      <c r="K368">
        <v>-615</v>
      </c>
      <c r="L368">
        <v>1095</v>
      </c>
      <c r="M368">
        <v>-4812.6000000000004</v>
      </c>
      <c r="N368">
        <v>-2748.6116399999601</v>
      </c>
      <c r="O368">
        <v>-58.47</v>
      </c>
      <c r="P368">
        <v>-14.48</v>
      </c>
      <c r="Q368">
        <v>2090</v>
      </c>
      <c r="R368">
        <v>-568.48</v>
      </c>
      <c r="S368">
        <v>330</v>
      </c>
      <c r="T368">
        <v>-1832</v>
      </c>
      <c r="U368">
        <v>299.60000000000002</v>
      </c>
      <c r="V368">
        <v>0</v>
      </c>
      <c r="W368">
        <v>-625.24</v>
      </c>
      <c r="X368">
        <v>-88</v>
      </c>
      <c r="Y368">
        <v>-404</v>
      </c>
      <c r="Z368">
        <v>182</v>
      </c>
      <c r="AA368">
        <v>261.99999999999801</v>
      </c>
      <c r="AB368">
        <v>-215.24339040000299</v>
      </c>
      <c r="AC368">
        <v>594.81999999999903</v>
      </c>
      <c r="AD368">
        <v>-180.9</v>
      </c>
      <c r="AE368">
        <v>-20366.7</v>
      </c>
      <c r="AF368">
        <v>525</v>
      </c>
      <c r="AG368">
        <v>12285</v>
      </c>
      <c r="AH368">
        <v>-4347</v>
      </c>
      <c r="AI368">
        <v>-1128.56</v>
      </c>
      <c r="AJ368">
        <v>-2354</v>
      </c>
      <c r="AK368">
        <v>4329.7214512799901</v>
      </c>
      <c r="AL368">
        <v>870</v>
      </c>
      <c r="AM368">
        <v>41.33</v>
      </c>
      <c r="AN368">
        <v>1.33</v>
      </c>
      <c r="AO368">
        <v>-140.15999999999201</v>
      </c>
      <c r="AP368">
        <v>-57.7</v>
      </c>
      <c r="AQ368">
        <v>1344</v>
      </c>
      <c r="AR368">
        <v>500</v>
      </c>
      <c r="AS368">
        <v>32</v>
      </c>
      <c r="AT368">
        <v>-2412</v>
      </c>
      <c r="AU368">
        <v>-844</v>
      </c>
      <c r="AV368">
        <v>106.44</v>
      </c>
      <c r="AW368">
        <v>-620.85</v>
      </c>
      <c r="AX368">
        <v>9655</v>
      </c>
      <c r="AY368">
        <v>-995.03270999999495</v>
      </c>
      <c r="AZ368">
        <v>4337.8111199999403</v>
      </c>
      <c r="BA368">
        <v>5479.43840000001</v>
      </c>
      <c r="BB368">
        <v>1020</v>
      </c>
      <c r="BC368">
        <v>268.5</v>
      </c>
      <c r="BD368">
        <v>1635.75</v>
      </c>
      <c r="BE368">
        <f t="shared" si="10"/>
        <v>57177.040906879993</v>
      </c>
      <c r="BF368">
        <f t="shared" si="11"/>
        <v>51324844.212451212</v>
      </c>
    </row>
    <row r="371" spans="1:56" x14ac:dyDescent="0.2">
      <c r="A371" s="2">
        <v>1</v>
      </c>
      <c r="B371">
        <f>CORREL($B2:$B365,B2:B365)</f>
        <v>0.99999999999999978</v>
      </c>
      <c r="C371">
        <f t="shared" ref="C371:BD371" si="12">CORREL($B2:$B365,C2:C365)</f>
        <v>0.40575438287478804</v>
      </c>
      <c r="D371">
        <f t="shared" si="12"/>
        <v>0.42025250035934586</v>
      </c>
      <c r="E371">
        <f t="shared" si="12"/>
        <v>0.31642174386370081</v>
      </c>
      <c r="F371">
        <f t="shared" si="12"/>
        <v>-2.6211669056672379E-2</v>
      </c>
      <c r="G371">
        <f t="shared" si="12"/>
        <v>4.0612137114812479E-2</v>
      </c>
      <c r="H371">
        <f t="shared" si="12"/>
        <v>0.10340304736816697</v>
      </c>
      <c r="I371">
        <f t="shared" si="12"/>
        <v>6.6888843408568878E-3</v>
      </c>
      <c r="J371">
        <f t="shared" si="12"/>
        <v>0.33640398767960711</v>
      </c>
      <c r="K371">
        <f t="shared" si="12"/>
        <v>0.48328740390968061</v>
      </c>
      <c r="L371">
        <f t="shared" si="12"/>
        <v>0.18190847818518446</v>
      </c>
      <c r="M371">
        <f t="shared" si="12"/>
        <v>3.9635340784344365E-2</v>
      </c>
      <c r="N371">
        <f t="shared" si="12"/>
        <v>4.2812609588145742E-2</v>
      </c>
      <c r="O371">
        <f t="shared" si="12"/>
        <v>-3.0273042231205582E-2</v>
      </c>
      <c r="P371">
        <f t="shared" si="12"/>
        <v>0.33855586756809097</v>
      </c>
      <c r="Q371">
        <f t="shared" si="12"/>
        <v>0.25703445044097106</v>
      </c>
      <c r="R371">
        <f t="shared" si="12"/>
        <v>0.256613981141391</v>
      </c>
      <c r="S371">
        <f t="shared" si="12"/>
        <v>0.66208688551330497</v>
      </c>
      <c r="T371">
        <f t="shared" si="12"/>
        <v>0.40051485483763544</v>
      </c>
      <c r="U371">
        <f t="shared" si="12"/>
        <v>0.31001169890267866</v>
      </c>
      <c r="V371">
        <f t="shared" si="12"/>
        <v>0.60260640627235962</v>
      </c>
      <c r="W371">
        <f t="shared" si="12"/>
        <v>0.39152961487835725</v>
      </c>
      <c r="X371">
        <f t="shared" si="12"/>
        <v>0.1060261317886223</v>
      </c>
      <c r="Y371">
        <f t="shared" si="12"/>
        <v>0.51220491676619573</v>
      </c>
      <c r="Z371">
        <f t="shared" si="12"/>
        <v>0.33489595337793376</v>
      </c>
      <c r="AA371">
        <f t="shared" si="12"/>
        <v>0.58188616015845362</v>
      </c>
      <c r="AB371">
        <f t="shared" si="12"/>
        <v>-0.10817690361806649</v>
      </c>
      <c r="AC371">
        <f t="shared" si="12"/>
        <v>0.29244722315609212</v>
      </c>
      <c r="AD371">
        <f t="shared" si="12"/>
        <v>1.878465355562698E-2</v>
      </c>
      <c r="AE371">
        <f t="shared" si="12"/>
        <v>0.14212446911283666</v>
      </c>
      <c r="AF371">
        <f t="shared" si="12"/>
        <v>0.38559590408203892</v>
      </c>
      <c r="AG371">
        <f t="shared" si="12"/>
        <v>0.28898965098688773</v>
      </c>
      <c r="AH371">
        <f t="shared" si="12"/>
        <v>0.42040202596828319</v>
      </c>
      <c r="AI371">
        <f t="shared" si="12"/>
        <v>0.36836500827681234</v>
      </c>
      <c r="AJ371">
        <f t="shared" si="12"/>
        <v>0.47584592812261672</v>
      </c>
      <c r="AK371">
        <f t="shared" si="12"/>
        <v>0.29018333819224912</v>
      </c>
      <c r="AL371">
        <f t="shared" si="12"/>
        <v>0.19872259071970061</v>
      </c>
      <c r="AM371">
        <f t="shared" si="12"/>
        <v>0.3996740142911781</v>
      </c>
      <c r="AN371">
        <f t="shared" si="12"/>
        <v>0.40684055419747817</v>
      </c>
      <c r="AO371">
        <f t="shared" si="12"/>
        <v>5.2460500306589747E-2</v>
      </c>
      <c r="AP371">
        <f t="shared" si="12"/>
        <v>0.101692826009395</v>
      </c>
      <c r="AQ371">
        <f t="shared" si="12"/>
        <v>4.5270627728773036E-2</v>
      </c>
      <c r="AR371">
        <f t="shared" si="12"/>
        <v>0.2035528880394708</v>
      </c>
      <c r="AS371">
        <f t="shared" si="12"/>
        <v>0.37779815801937328</v>
      </c>
      <c r="AT371">
        <f t="shared" si="12"/>
        <v>0.41549115586141844</v>
      </c>
      <c r="AU371">
        <f t="shared" si="12"/>
        <v>0.21393574966267453</v>
      </c>
      <c r="AV371">
        <f t="shared" si="12"/>
        <v>-9.5519063251125261E-3</v>
      </c>
      <c r="AW371">
        <f t="shared" si="12"/>
        <v>0.46243271050757684</v>
      </c>
      <c r="AX371">
        <f t="shared" si="12"/>
        <v>2.8330161811048898E-2</v>
      </c>
      <c r="AY371">
        <f t="shared" si="12"/>
        <v>-0.21200456862700065</v>
      </c>
      <c r="AZ371">
        <f t="shared" si="12"/>
        <v>1.5775915084577366E-4</v>
      </c>
      <c r="BA371">
        <f t="shared" si="12"/>
        <v>5.5340906227633761E-2</v>
      </c>
      <c r="BB371">
        <f t="shared" si="12"/>
        <v>0.39878885340972359</v>
      </c>
      <c r="BC371">
        <f t="shared" si="12"/>
        <v>0.40483088264273981</v>
      </c>
      <c r="BD371">
        <f t="shared" si="12"/>
        <v>0.76881653560278151</v>
      </c>
    </row>
    <row r="372" spans="1:56" x14ac:dyDescent="0.2">
      <c r="A372" s="2">
        <v>2</v>
      </c>
      <c r="B372">
        <f>CORREL($C2:$C365,B2:B365)</f>
        <v>0.40575438287478804</v>
      </c>
      <c r="C372">
        <f t="shared" ref="C372:BD372" si="13">CORREL($C2:$C365,C2:C365)</f>
        <v>1.0000000000000002</v>
      </c>
      <c r="D372">
        <f t="shared" si="13"/>
        <v>0.37910332921490564</v>
      </c>
      <c r="E372">
        <f t="shared" si="13"/>
        <v>7.7711881236124131E-2</v>
      </c>
      <c r="F372">
        <f t="shared" si="13"/>
        <v>0.20011327580548977</v>
      </c>
      <c r="G372">
        <f t="shared" si="13"/>
        <v>0.13783961942668924</v>
      </c>
      <c r="H372">
        <f t="shared" si="13"/>
        <v>1.2154111977316218E-2</v>
      </c>
      <c r="I372">
        <f t="shared" si="13"/>
        <v>0.18046987373146264</v>
      </c>
      <c r="J372">
        <f t="shared" si="13"/>
        <v>0.38496892480713496</v>
      </c>
      <c r="K372">
        <f t="shared" si="13"/>
        <v>0.37117192646061725</v>
      </c>
      <c r="L372">
        <f t="shared" si="13"/>
        <v>0.17439564094863275</v>
      </c>
      <c r="M372">
        <f t="shared" si="13"/>
        <v>4.4691172629215327E-2</v>
      </c>
      <c r="N372">
        <f t="shared" si="13"/>
        <v>4.2214532029955738E-2</v>
      </c>
      <c r="O372">
        <f t="shared" si="13"/>
        <v>-5.63852757850581E-2</v>
      </c>
      <c r="P372">
        <f t="shared" si="13"/>
        <v>0.32540220937472203</v>
      </c>
      <c r="Q372">
        <f t="shared" si="13"/>
        <v>0.24447798231167867</v>
      </c>
      <c r="R372">
        <f t="shared" si="13"/>
        <v>0.34841523330648583</v>
      </c>
      <c r="S372">
        <f t="shared" si="13"/>
        <v>0.42196460565158206</v>
      </c>
      <c r="T372">
        <f t="shared" si="13"/>
        <v>0.47178335247317865</v>
      </c>
      <c r="U372">
        <f t="shared" si="13"/>
        <v>0.31029395026369888</v>
      </c>
      <c r="V372">
        <f t="shared" si="13"/>
        <v>0.5045575079715231</v>
      </c>
      <c r="W372">
        <f t="shared" si="13"/>
        <v>0.30401803589853577</v>
      </c>
      <c r="X372">
        <f t="shared" si="13"/>
        <v>0.20189811176252287</v>
      </c>
      <c r="Y372">
        <f t="shared" si="13"/>
        <v>0.41619563548904082</v>
      </c>
      <c r="Z372">
        <f t="shared" si="13"/>
        <v>0.29199073062286451</v>
      </c>
      <c r="AA372">
        <f t="shared" si="13"/>
        <v>0.52338791421583197</v>
      </c>
      <c r="AB372">
        <f t="shared" si="13"/>
        <v>-0.10609020073457408</v>
      </c>
      <c r="AC372">
        <f t="shared" si="13"/>
        <v>0.31463098227145414</v>
      </c>
      <c r="AD372">
        <f t="shared" si="13"/>
        <v>0.1476392049491955</v>
      </c>
      <c r="AE372">
        <f t="shared" si="13"/>
        <v>0.30102516527132178</v>
      </c>
      <c r="AF372">
        <f t="shared" si="13"/>
        <v>0.30531138558603316</v>
      </c>
      <c r="AG372">
        <f t="shared" si="13"/>
        <v>0.18936305482867885</v>
      </c>
      <c r="AH372">
        <f t="shared" si="13"/>
        <v>0.25372649953458293</v>
      </c>
      <c r="AI372">
        <f t="shared" si="13"/>
        <v>0.31296772309745019</v>
      </c>
      <c r="AJ372">
        <f t="shared" si="13"/>
        <v>0.36297894016461574</v>
      </c>
      <c r="AK372">
        <f t="shared" si="13"/>
        <v>0.18976885954571049</v>
      </c>
      <c r="AL372">
        <f t="shared" si="13"/>
        <v>0.23396742026536432</v>
      </c>
      <c r="AM372">
        <f t="shared" si="13"/>
        <v>0.19342686692484906</v>
      </c>
      <c r="AN372">
        <f t="shared" si="13"/>
        <v>0.19491263091058159</v>
      </c>
      <c r="AO372">
        <f t="shared" si="13"/>
        <v>-2.101411677646901E-2</v>
      </c>
      <c r="AP372">
        <f t="shared" si="13"/>
        <v>0.22172652021807793</v>
      </c>
      <c r="AQ372">
        <f t="shared" si="13"/>
        <v>0.17436857987125765</v>
      </c>
      <c r="AR372">
        <f t="shared" si="13"/>
        <v>0.29255648477423696</v>
      </c>
      <c r="AS372">
        <f t="shared" si="13"/>
        <v>0.38765338432996305</v>
      </c>
      <c r="AT372">
        <f t="shared" si="13"/>
        <v>0.4621397807267803</v>
      </c>
      <c r="AU372">
        <f t="shared" si="13"/>
        <v>1.6388703654081144E-2</v>
      </c>
      <c r="AV372">
        <f t="shared" si="13"/>
        <v>3.6474718268201006E-2</v>
      </c>
      <c r="AW372">
        <f t="shared" si="13"/>
        <v>0.49066376369184861</v>
      </c>
      <c r="AX372">
        <f t="shared" si="13"/>
        <v>0.17016372099805438</v>
      </c>
      <c r="AY372">
        <f t="shared" si="13"/>
        <v>-5.3995172011186567E-2</v>
      </c>
      <c r="AZ372">
        <f t="shared" si="13"/>
        <v>1.7951940195020482E-3</v>
      </c>
      <c r="BA372">
        <f t="shared" si="13"/>
        <v>-9.4007274140304325E-2</v>
      </c>
      <c r="BB372">
        <f t="shared" si="13"/>
        <v>0.55105342493840603</v>
      </c>
      <c r="BC372">
        <f t="shared" si="13"/>
        <v>0.3524838037065508</v>
      </c>
      <c r="BD372">
        <f t="shared" si="13"/>
        <v>0.75393955844871585</v>
      </c>
    </row>
    <row r="373" spans="1:56" x14ac:dyDescent="0.2">
      <c r="A373" s="2">
        <v>3</v>
      </c>
      <c r="B373">
        <f>CORREL($D2:$D365,B2:B365)</f>
        <v>0.42025250035934586</v>
      </c>
      <c r="C373">
        <f t="shared" ref="C373:BD373" si="14">CORREL($D2:$D365,C2:C365)</f>
        <v>0.37910332921490564</v>
      </c>
      <c r="D373">
        <f t="shared" si="14"/>
        <v>0.99999999999999989</v>
      </c>
      <c r="E373">
        <f t="shared" si="14"/>
        <v>0.10200256821709586</v>
      </c>
      <c r="F373">
        <f t="shared" si="14"/>
        <v>6.1449229950290445E-2</v>
      </c>
      <c r="G373">
        <f t="shared" si="14"/>
        <v>6.1424237474616165E-2</v>
      </c>
      <c r="H373">
        <f t="shared" si="14"/>
        <v>3.7481547850390122E-3</v>
      </c>
      <c r="I373">
        <f t="shared" si="14"/>
        <v>7.3898802965369159E-2</v>
      </c>
      <c r="J373">
        <f t="shared" si="14"/>
        <v>0.45320993203551818</v>
      </c>
      <c r="K373">
        <f t="shared" si="14"/>
        <v>0.50620163124540984</v>
      </c>
      <c r="L373">
        <f t="shared" si="14"/>
        <v>0.27077645237039355</v>
      </c>
      <c r="M373">
        <f t="shared" si="14"/>
        <v>4.4141634674776858E-2</v>
      </c>
      <c r="N373">
        <f t="shared" si="14"/>
        <v>3.4471182453412491E-2</v>
      </c>
      <c r="O373">
        <f t="shared" si="14"/>
        <v>9.1922508418178749E-3</v>
      </c>
      <c r="P373">
        <f t="shared" si="14"/>
        <v>0.45689780986112893</v>
      </c>
      <c r="Q373">
        <f t="shared" si="14"/>
        <v>0.30903371675414465</v>
      </c>
      <c r="R373">
        <f t="shared" si="14"/>
        <v>0.39728277890247887</v>
      </c>
      <c r="S373">
        <f t="shared" si="14"/>
        <v>0.48900737429578228</v>
      </c>
      <c r="T373">
        <f t="shared" si="14"/>
        <v>0.54186005991219022</v>
      </c>
      <c r="U373">
        <f t="shared" si="14"/>
        <v>0.3339140363826032</v>
      </c>
      <c r="V373">
        <f t="shared" si="14"/>
        <v>0.54771464600460973</v>
      </c>
      <c r="W373">
        <f t="shared" si="14"/>
        <v>0.37495042600527084</v>
      </c>
      <c r="X373">
        <f t="shared" si="14"/>
        <v>0.37278175752538695</v>
      </c>
      <c r="Y373">
        <f t="shared" si="14"/>
        <v>0.44312374247423209</v>
      </c>
      <c r="Z373">
        <f t="shared" si="14"/>
        <v>0.37077805029604477</v>
      </c>
      <c r="AA373">
        <f t="shared" si="14"/>
        <v>0.56933221906607756</v>
      </c>
      <c r="AB373">
        <f t="shared" si="14"/>
        <v>-0.17601184346970816</v>
      </c>
      <c r="AC373">
        <f t="shared" si="14"/>
        <v>0.39440368890385236</v>
      </c>
      <c r="AD373">
        <f t="shared" si="14"/>
        <v>-7.5899397335098831E-2</v>
      </c>
      <c r="AE373">
        <f t="shared" si="14"/>
        <v>0.25267803782071374</v>
      </c>
      <c r="AF373">
        <f t="shared" si="14"/>
        <v>0.52997661559326503</v>
      </c>
      <c r="AG373">
        <f t="shared" si="14"/>
        <v>0.23399430272631608</v>
      </c>
      <c r="AH373">
        <f t="shared" si="14"/>
        <v>0.42675323121354802</v>
      </c>
      <c r="AI373">
        <f t="shared" si="14"/>
        <v>0.34227808067302284</v>
      </c>
      <c r="AJ373">
        <f t="shared" si="14"/>
        <v>0.6438047184948289</v>
      </c>
      <c r="AK373">
        <f t="shared" si="14"/>
        <v>0.3393590383089003</v>
      </c>
      <c r="AL373">
        <f t="shared" si="14"/>
        <v>0.16368201653589681</v>
      </c>
      <c r="AM373">
        <f t="shared" si="14"/>
        <v>0.25242704000214994</v>
      </c>
      <c r="AN373">
        <f t="shared" si="14"/>
        <v>0.25099246017500637</v>
      </c>
      <c r="AO373">
        <f t="shared" si="14"/>
        <v>0.14067790062679963</v>
      </c>
      <c r="AP373">
        <f t="shared" si="14"/>
        <v>0.15398139602302638</v>
      </c>
      <c r="AQ373">
        <f t="shared" si="14"/>
        <v>0.46488577294543465</v>
      </c>
      <c r="AR373">
        <f t="shared" si="14"/>
        <v>0.48037177052858315</v>
      </c>
      <c r="AS373">
        <f t="shared" si="14"/>
        <v>0.42256581025959372</v>
      </c>
      <c r="AT373">
        <f t="shared" si="14"/>
        <v>0.61088361101821553</v>
      </c>
      <c r="AU373">
        <f t="shared" si="14"/>
        <v>-2.1532702681949185E-2</v>
      </c>
      <c r="AV373">
        <f t="shared" si="14"/>
        <v>3.0525706617542281E-2</v>
      </c>
      <c r="AW373">
        <f t="shared" si="14"/>
        <v>0.53363185886650222</v>
      </c>
      <c r="AX373">
        <f t="shared" si="14"/>
        <v>6.4028566048286925E-2</v>
      </c>
      <c r="AY373">
        <f t="shared" si="14"/>
        <v>-0.11652755686076129</v>
      </c>
      <c r="AZ373">
        <f t="shared" si="14"/>
        <v>-0.10868955470578263</v>
      </c>
      <c r="BA373">
        <f t="shared" si="14"/>
        <v>7.73084041239148E-4</v>
      </c>
      <c r="BB373">
        <f t="shared" si="14"/>
        <v>0.55416754692171677</v>
      </c>
      <c r="BC373">
        <f t="shared" si="14"/>
        <v>0.49824460540054438</v>
      </c>
      <c r="BD373">
        <f t="shared" si="14"/>
        <v>0.6043744875932443</v>
      </c>
    </row>
    <row r="374" spans="1:56" x14ac:dyDescent="0.2">
      <c r="A374" s="2">
        <v>4</v>
      </c>
      <c r="B374">
        <f>CORREL($E2:$E365,B2:B365)</f>
        <v>0.31642174386370081</v>
      </c>
      <c r="C374">
        <f t="shared" ref="C374:BD374" si="15">CORREL($E2:$E365,C2:C365)</f>
        <v>7.7711881236124131E-2</v>
      </c>
      <c r="D374">
        <f t="shared" si="15"/>
        <v>0.10200256821709586</v>
      </c>
      <c r="E374">
        <f t="shared" si="15"/>
        <v>1</v>
      </c>
      <c r="F374">
        <f t="shared" si="15"/>
        <v>-0.13296708665540155</v>
      </c>
      <c r="G374">
        <f t="shared" si="15"/>
        <v>9.1431902752813453E-3</v>
      </c>
      <c r="H374">
        <f t="shared" si="15"/>
        <v>-3.3082686801660244E-4</v>
      </c>
      <c r="I374">
        <f t="shared" si="15"/>
        <v>1.6050660159053768E-2</v>
      </c>
      <c r="J374">
        <f t="shared" si="15"/>
        <v>2.7745712941404974E-2</v>
      </c>
      <c r="K374">
        <f t="shared" si="15"/>
        <v>0.38682222568309327</v>
      </c>
      <c r="L374">
        <f t="shared" si="15"/>
        <v>0.16117447066352392</v>
      </c>
      <c r="M374">
        <f t="shared" si="15"/>
        <v>-3.5917279942946238E-2</v>
      </c>
      <c r="N374">
        <f t="shared" si="15"/>
        <v>1.0346660626148526E-3</v>
      </c>
      <c r="O374">
        <f t="shared" si="15"/>
        <v>-2.6261371408354085E-2</v>
      </c>
      <c r="P374">
        <f t="shared" si="15"/>
        <v>6.7766726279096676E-2</v>
      </c>
      <c r="Q374">
        <f t="shared" si="15"/>
        <v>6.2031414960155511E-2</v>
      </c>
      <c r="R374">
        <f t="shared" si="15"/>
        <v>-3.7933540375906841E-3</v>
      </c>
      <c r="S374">
        <f t="shared" si="15"/>
        <v>0.45018156703051904</v>
      </c>
      <c r="T374">
        <f t="shared" si="15"/>
        <v>0.1329100665318467</v>
      </c>
      <c r="U374">
        <f t="shared" si="15"/>
        <v>0.10126203799790923</v>
      </c>
      <c r="V374">
        <f t="shared" si="15"/>
        <v>0.22034565650007634</v>
      </c>
      <c r="W374">
        <f t="shared" si="15"/>
        <v>0.17040965953214543</v>
      </c>
      <c r="X374">
        <f t="shared" si="15"/>
        <v>-7.7196181460443589E-2</v>
      </c>
      <c r="Y374">
        <f t="shared" si="15"/>
        <v>0.21769152937745381</v>
      </c>
      <c r="Z374">
        <f t="shared" si="15"/>
        <v>0.20059096969649728</v>
      </c>
      <c r="AA374">
        <f t="shared" si="15"/>
        <v>0.18915846683961854</v>
      </c>
      <c r="AB374">
        <f t="shared" si="15"/>
        <v>-0.12477553535311899</v>
      </c>
      <c r="AC374">
        <f t="shared" si="15"/>
        <v>0.11619553694646442</v>
      </c>
      <c r="AD374">
        <f t="shared" si="15"/>
        <v>-7.3762435818199509E-2</v>
      </c>
      <c r="AE374">
        <f t="shared" si="15"/>
        <v>1.6770420736170424E-2</v>
      </c>
      <c r="AF374">
        <f t="shared" si="15"/>
        <v>0.21628730620949965</v>
      </c>
      <c r="AG374">
        <f t="shared" si="15"/>
        <v>0.11951001084685445</v>
      </c>
      <c r="AH374">
        <f t="shared" si="15"/>
        <v>0.24376403478094949</v>
      </c>
      <c r="AI374">
        <f t="shared" si="15"/>
        <v>8.148300667473124E-2</v>
      </c>
      <c r="AJ374">
        <f t="shared" si="15"/>
        <v>0.52364057688578569</v>
      </c>
      <c r="AK374">
        <f t="shared" si="15"/>
        <v>0.17572525370854788</v>
      </c>
      <c r="AL374">
        <f t="shared" si="15"/>
        <v>5.7806663642846756E-4</v>
      </c>
      <c r="AM374">
        <f t="shared" si="15"/>
        <v>0.24856254221749163</v>
      </c>
      <c r="AN374">
        <f t="shared" si="15"/>
        <v>0.25819623448630835</v>
      </c>
      <c r="AO374">
        <f t="shared" si="15"/>
        <v>-0.11514695073081184</v>
      </c>
      <c r="AP374">
        <f t="shared" si="15"/>
        <v>-0.10779608349084889</v>
      </c>
      <c r="AQ374">
        <f t="shared" si="15"/>
        <v>-3.8129281859463668E-2</v>
      </c>
      <c r="AR374">
        <f t="shared" si="15"/>
        <v>-1.5077864295689034E-2</v>
      </c>
      <c r="AS374">
        <f t="shared" si="15"/>
        <v>0.18798004291142209</v>
      </c>
      <c r="AT374">
        <f t="shared" si="15"/>
        <v>9.655048262852442E-2</v>
      </c>
      <c r="AU374">
        <f t="shared" si="15"/>
        <v>0.14042961552550642</v>
      </c>
      <c r="AV374">
        <f t="shared" si="15"/>
        <v>-1.2120795086894787E-2</v>
      </c>
      <c r="AW374">
        <f t="shared" si="15"/>
        <v>8.4617128299869865E-2</v>
      </c>
      <c r="AX374">
        <f t="shared" si="15"/>
        <v>8.988345706347798E-3</v>
      </c>
      <c r="AY374">
        <f t="shared" si="15"/>
        <v>-7.2844970405952642E-2</v>
      </c>
      <c r="AZ374">
        <f t="shared" si="15"/>
        <v>0.14935045242621056</v>
      </c>
      <c r="BA374">
        <f t="shared" si="15"/>
        <v>7.149390413618277E-2</v>
      </c>
      <c r="BB374">
        <f t="shared" si="15"/>
        <v>2.1613498881960709E-3</v>
      </c>
      <c r="BC374">
        <f t="shared" si="15"/>
        <v>0.1118657657210073</v>
      </c>
      <c r="BD374">
        <f t="shared" si="15"/>
        <v>0.60272802934846037</v>
      </c>
    </row>
    <row r="375" spans="1:56" x14ac:dyDescent="0.2">
      <c r="A375" s="2">
        <v>5</v>
      </c>
      <c r="B375">
        <f>CORREL($F2:$F365,B2:B365)</f>
        <v>-2.6211669056672379E-2</v>
      </c>
      <c r="C375">
        <f t="shared" ref="C375:BD375" si="16">CORREL($F2:$F365,C2:C365)</f>
        <v>0.20011327580548977</v>
      </c>
      <c r="D375">
        <f t="shared" si="16"/>
        <v>6.1449229950290445E-2</v>
      </c>
      <c r="E375">
        <f t="shared" si="16"/>
        <v>-0.13296708665540155</v>
      </c>
      <c r="F375">
        <f t="shared" si="16"/>
        <v>1.0000000000000002</v>
      </c>
      <c r="G375">
        <f t="shared" si="16"/>
        <v>0.19321501640514102</v>
      </c>
      <c r="H375">
        <f t="shared" si="16"/>
        <v>-6.9082340237148774E-3</v>
      </c>
      <c r="I375">
        <f t="shared" si="16"/>
        <v>0.14894546807649903</v>
      </c>
      <c r="J375">
        <f t="shared" si="16"/>
        <v>0.27721294724509499</v>
      </c>
      <c r="K375">
        <f t="shared" si="16"/>
        <v>3.392488346323707E-2</v>
      </c>
      <c r="L375">
        <f t="shared" si="16"/>
        <v>4.4604507785542521E-2</v>
      </c>
      <c r="M375">
        <f t="shared" si="16"/>
        <v>1.8844678772099232E-2</v>
      </c>
      <c r="N375">
        <f t="shared" si="16"/>
        <v>1.2499218476283108E-2</v>
      </c>
      <c r="O375">
        <f t="shared" si="16"/>
        <v>0.13435285442876621</v>
      </c>
      <c r="P375">
        <f t="shared" si="16"/>
        <v>0.11579145180007243</v>
      </c>
      <c r="Q375">
        <f t="shared" si="16"/>
        <v>8.5173392734975095E-2</v>
      </c>
      <c r="R375">
        <f t="shared" si="16"/>
        <v>6.8786704629329329E-2</v>
      </c>
      <c r="S375">
        <f t="shared" si="16"/>
        <v>-0.1954487901577813</v>
      </c>
      <c r="T375">
        <f t="shared" si="16"/>
        <v>0.12531765963358019</v>
      </c>
      <c r="U375">
        <f t="shared" si="16"/>
        <v>2.9567837864188463E-2</v>
      </c>
      <c r="V375">
        <f t="shared" si="16"/>
        <v>7.5527647837086093E-3</v>
      </c>
      <c r="W375">
        <f t="shared" si="16"/>
        <v>5.1305127255033549E-2</v>
      </c>
      <c r="X375">
        <f t="shared" si="16"/>
        <v>9.6497829967464629E-2</v>
      </c>
      <c r="Y375">
        <f t="shared" si="16"/>
        <v>-9.778859749920531E-3</v>
      </c>
      <c r="Z375">
        <f t="shared" si="16"/>
        <v>1.1957979131794763E-2</v>
      </c>
      <c r="AA375">
        <f t="shared" si="16"/>
        <v>1.4445326367522757E-2</v>
      </c>
      <c r="AB375">
        <f t="shared" si="16"/>
        <v>0.10146700276107098</v>
      </c>
      <c r="AC375">
        <f t="shared" si="16"/>
        <v>-3.143004388443791E-2</v>
      </c>
      <c r="AD375">
        <f t="shared" si="16"/>
        <v>5.0940508025126993E-2</v>
      </c>
      <c r="AE375">
        <f t="shared" si="16"/>
        <v>0.17334473609832657</v>
      </c>
      <c r="AF375">
        <f t="shared" si="16"/>
        <v>2.9626212299227101E-3</v>
      </c>
      <c r="AG375">
        <f t="shared" si="16"/>
        <v>6.8540039534705319E-2</v>
      </c>
      <c r="AH375">
        <f t="shared" si="16"/>
        <v>-9.499331257188118E-4</v>
      </c>
      <c r="AI375">
        <f t="shared" si="16"/>
        <v>-0.20165672933526774</v>
      </c>
      <c r="AJ375">
        <f t="shared" si="16"/>
        <v>-9.1196707825181661E-2</v>
      </c>
      <c r="AK375">
        <f t="shared" si="16"/>
        <v>-8.9848893819908487E-2</v>
      </c>
      <c r="AL375">
        <f t="shared" si="16"/>
        <v>4.2998269263572982E-2</v>
      </c>
      <c r="AM375">
        <f t="shared" si="16"/>
        <v>-0.16226185840083079</v>
      </c>
      <c r="AN375">
        <f t="shared" si="16"/>
        <v>-0.17485426519404804</v>
      </c>
      <c r="AO375">
        <f t="shared" si="16"/>
        <v>-6.5182696391311329E-2</v>
      </c>
      <c r="AP375">
        <f t="shared" si="16"/>
        <v>0.17728807301908536</v>
      </c>
      <c r="AQ375">
        <f t="shared" si="16"/>
        <v>1.9942490082561746E-4</v>
      </c>
      <c r="AR375">
        <f t="shared" si="16"/>
        <v>0.12466523160670152</v>
      </c>
      <c r="AS375">
        <f t="shared" si="16"/>
        <v>9.2887602472565098E-2</v>
      </c>
      <c r="AT375">
        <f t="shared" si="16"/>
        <v>3.4579038363027149E-2</v>
      </c>
      <c r="AU375">
        <f t="shared" si="16"/>
        <v>1.6198595050636356E-3</v>
      </c>
      <c r="AV375">
        <f t="shared" si="16"/>
        <v>4.1962804052014573E-2</v>
      </c>
      <c r="AW375">
        <f t="shared" si="16"/>
        <v>5.666526824435076E-2</v>
      </c>
      <c r="AX375">
        <f t="shared" si="16"/>
        <v>0.13182421066380604</v>
      </c>
      <c r="AY375">
        <f t="shared" si="16"/>
        <v>0.13176253971152241</v>
      </c>
      <c r="AZ375">
        <f t="shared" si="16"/>
        <v>-3.2198944729065967E-2</v>
      </c>
      <c r="BA375">
        <f t="shared" si="16"/>
        <v>-0.14979574879277954</v>
      </c>
      <c r="BB375">
        <f t="shared" si="16"/>
        <v>0.24684629996547694</v>
      </c>
      <c r="BC375">
        <f t="shared" si="16"/>
        <v>-4.8003374185586527E-2</v>
      </c>
      <c r="BD375">
        <f t="shared" si="16"/>
        <v>-0.54710919572600669</v>
      </c>
    </row>
    <row r="376" spans="1:56" x14ac:dyDescent="0.2">
      <c r="A376" s="2">
        <v>6</v>
      </c>
      <c r="B376">
        <f>CORREL($G2:$G365,B2:B365)</f>
        <v>4.0612137114812479E-2</v>
      </c>
      <c r="C376">
        <f t="shared" ref="C376:BD376" si="17">CORREL($G2:$G365,C2:C365)</f>
        <v>0.13783961942668924</v>
      </c>
      <c r="D376">
        <f t="shared" si="17"/>
        <v>6.1424237474616165E-2</v>
      </c>
      <c r="E376">
        <f t="shared" si="17"/>
        <v>9.1431902752813453E-3</v>
      </c>
      <c r="F376">
        <f t="shared" si="17"/>
        <v>0.19321501640514102</v>
      </c>
      <c r="G376">
        <f t="shared" si="17"/>
        <v>1.0000000000000002</v>
      </c>
      <c r="H376">
        <f t="shared" si="17"/>
        <v>1.1539918931400866E-2</v>
      </c>
      <c r="I376">
        <f t="shared" si="17"/>
        <v>0.70425408062234318</v>
      </c>
      <c r="J376">
        <f t="shared" si="17"/>
        <v>0.19298123052149507</v>
      </c>
      <c r="K376">
        <f t="shared" si="17"/>
        <v>-3.0776016386685059E-2</v>
      </c>
      <c r="L376">
        <f t="shared" si="17"/>
        <v>0.18350158119897916</v>
      </c>
      <c r="M376">
        <f t="shared" si="17"/>
        <v>0.38668915288554512</v>
      </c>
      <c r="N376">
        <f t="shared" si="17"/>
        <v>6.9417182614997163E-3</v>
      </c>
      <c r="O376">
        <f t="shared" si="17"/>
        <v>0.35587053140342118</v>
      </c>
      <c r="P376">
        <f t="shared" si="17"/>
        <v>0.12527635601522749</v>
      </c>
      <c r="Q376">
        <f t="shared" si="17"/>
        <v>8.9552411152864761E-2</v>
      </c>
      <c r="R376">
        <f t="shared" si="17"/>
        <v>7.0101099545305454E-2</v>
      </c>
      <c r="S376">
        <f t="shared" si="17"/>
        <v>5.137477877726513E-2</v>
      </c>
      <c r="T376">
        <f t="shared" si="17"/>
        <v>0.10899860444081763</v>
      </c>
      <c r="U376">
        <f t="shared" si="17"/>
        <v>1.4160564534313642E-2</v>
      </c>
      <c r="V376">
        <f t="shared" si="17"/>
        <v>0.12992316935078493</v>
      </c>
      <c r="W376">
        <f t="shared" si="17"/>
        <v>-3.680272456708622E-2</v>
      </c>
      <c r="X376">
        <f t="shared" si="17"/>
        <v>0.18689788139194283</v>
      </c>
      <c r="Y376">
        <f t="shared" si="17"/>
        <v>6.1524616502897818E-3</v>
      </c>
      <c r="Z376">
        <f t="shared" si="17"/>
        <v>9.455015012943431E-2</v>
      </c>
      <c r="AA376">
        <f t="shared" si="17"/>
        <v>0.10289089938089378</v>
      </c>
      <c r="AB376">
        <f t="shared" si="17"/>
        <v>-6.5875787943179996E-3</v>
      </c>
      <c r="AC376">
        <f t="shared" si="17"/>
        <v>0.22631344192480082</v>
      </c>
      <c r="AD376">
        <f t="shared" si="17"/>
        <v>0.21977186916373473</v>
      </c>
      <c r="AE376">
        <f t="shared" si="17"/>
        <v>0.26161812265580375</v>
      </c>
      <c r="AF376">
        <f t="shared" si="17"/>
        <v>6.9039682503767894E-2</v>
      </c>
      <c r="AG376">
        <f t="shared" si="17"/>
        <v>0.17091942961363035</v>
      </c>
      <c r="AH376">
        <f t="shared" si="17"/>
        <v>5.1633959850183736E-3</v>
      </c>
      <c r="AI376">
        <f t="shared" si="17"/>
        <v>6.9508418780083361E-2</v>
      </c>
      <c r="AJ376">
        <f t="shared" si="17"/>
        <v>3.8676541334008899E-2</v>
      </c>
      <c r="AK376">
        <f t="shared" si="17"/>
        <v>0.22751918786588507</v>
      </c>
      <c r="AL376">
        <f t="shared" si="17"/>
        <v>-6.4995122995236713E-3</v>
      </c>
      <c r="AM376">
        <f t="shared" si="17"/>
        <v>-3.1789223269355613E-2</v>
      </c>
      <c r="AN376">
        <f t="shared" si="17"/>
        <v>-4.3061027433847723E-2</v>
      </c>
      <c r="AO376">
        <f t="shared" si="17"/>
        <v>-5.5815821472253682E-2</v>
      </c>
      <c r="AP376">
        <f t="shared" si="17"/>
        <v>0.13020320031104618</v>
      </c>
      <c r="AQ376">
        <f t="shared" si="17"/>
        <v>0.10383289815026148</v>
      </c>
      <c r="AR376">
        <f t="shared" si="17"/>
        <v>0.10876497763086175</v>
      </c>
      <c r="AS376">
        <f t="shared" si="17"/>
        <v>0.1279917104118917</v>
      </c>
      <c r="AT376">
        <f t="shared" si="17"/>
        <v>0.18877925788767511</v>
      </c>
      <c r="AU376">
        <f t="shared" si="17"/>
        <v>-5.9269077585259497E-2</v>
      </c>
      <c r="AV376">
        <f t="shared" si="17"/>
        <v>1.7201882317413993E-2</v>
      </c>
      <c r="AW376">
        <f t="shared" si="17"/>
        <v>0.13662669496122617</v>
      </c>
      <c r="AX376">
        <f t="shared" si="17"/>
        <v>0.79179937583930193</v>
      </c>
      <c r="AY376">
        <f t="shared" si="17"/>
        <v>2.8947182157003707E-2</v>
      </c>
      <c r="AZ376">
        <f t="shared" si="17"/>
        <v>-4.5721716441005332E-2</v>
      </c>
      <c r="BA376">
        <f t="shared" si="17"/>
        <v>-0.14051101850336972</v>
      </c>
      <c r="BB376">
        <f t="shared" si="17"/>
        <v>0.21273144973141841</v>
      </c>
      <c r="BC376">
        <f t="shared" si="17"/>
        <v>0.11848478777190347</v>
      </c>
      <c r="BD376">
        <f t="shared" si="17"/>
        <v>0.18055080367883319</v>
      </c>
    </row>
    <row r="377" spans="1:56" x14ac:dyDescent="0.2">
      <c r="A377" s="2">
        <v>7</v>
      </c>
      <c r="B377">
        <f>CORREL($H2:$H365,B2:B365)</f>
        <v>0.10340304736816697</v>
      </c>
      <c r="C377">
        <f t="shared" ref="C377:BD377" si="18">CORREL($H2:$H365,C2:C365)</f>
        <v>1.2154111977316218E-2</v>
      </c>
      <c r="D377">
        <f t="shared" si="18"/>
        <v>3.7481547850390122E-3</v>
      </c>
      <c r="E377">
        <f t="shared" si="18"/>
        <v>-3.3082686801660244E-4</v>
      </c>
      <c r="F377">
        <f t="shared" si="18"/>
        <v>-6.9082340237148774E-3</v>
      </c>
      <c r="G377">
        <f t="shared" si="18"/>
        <v>1.1539918931400866E-2</v>
      </c>
      <c r="H377">
        <f t="shared" si="18"/>
        <v>1</v>
      </c>
      <c r="I377">
        <f t="shared" si="18"/>
        <v>-1.5258513234006907E-2</v>
      </c>
      <c r="J377">
        <f t="shared" si="18"/>
        <v>-4.2046638922179531E-3</v>
      </c>
      <c r="K377">
        <f t="shared" si="18"/>
        <v>9.5771110842039806E-2</v>
      </c>
      <c r="L377">
        <f t="shared" si="18"/>
        <v>1.0309149482166163E-2</v>
      </c>
      <c r="M377">
        <f t="shared" si="18"/>
        <v>-7.5592453255784203E-2</v>
      </c>
      <c r="N377">
        <f t="shared" si="18"/>
        <v>6.0696318087802101E-3</v>
      </c>
      <c r="O377">
        <f t="shared" si="18"/>
        <v>3.9211541232034859E-2</v>
      </c>
      <c r="P377">
        <f t="shared" si="18"/>
        <v>1.4526667631408001E-2</v>
      </c>
      <c r="Q377">
        <f t="shared" si="18"/>
        <v>-2.6296808353919718E-2</v>
      </c>
      <c r="R377">
        <f t="shared" si="18"/>
        <v>3.6171370290534278E-2</v>
      </c>
      <c r="S377">
        <f t="shared" si="18"/>
        <v>7.59977830171049E-2</v>
      </c>
      <c r="T377">
        <f t="shared" si="18"/>
        <v>4.5845620208698638E-2</v>
      </c>
      <c r="U377">
        <f t="shared" si="18"/>
        <v>4.2226574108255643E-2</v>
      </c>
      <c r="V377">
        <f t="shared" si="18"/>
        <v>4.3236183704360283E-2</v>
      </c>
      <c r="W377">
        <f t="shared" si="18"/>
        <v>-8.9176572959319134E-2</v>
      </c>
      <c r="X377">
        <f t="shared" si="18"/>
        <v>-5.2026055071048162E-2</v>
      </c>
      <c r="Y377">
        <f t="shared" si="18"/>
        <v>4.3927790737097502E-2</v>
      </c>
      <c r="Z377">
        <f t="shared" si="18"/>
        <v>3.0997088587522696E-2</v>
      </c>
      <c r="AA377">
        <f t="shared" si="18"/>
        <v>3.2444150046784977E-2</v>
      </c>
      <c r="AB377">
        <f t="shared" si="18"/>
        <v>-8.6128718652283665E-2</v>
      </c>
      <c r="AC377">
        <f t="shared" si="18"/>
        <v>2.9427762094411322E-2</v>
      </c>
      <c r="AD377">
        <f t="shared" si="18"/>
        <v>7.4303290540426004E-2</v>
      </c>
      <c r="AE377">
        <f t="shared" si="18"/>
        <v>-2.8562697324165436E-2</v>
      </c>
      <c r="AF377">
        <f t="shared" si="18"/>
        <v>-2.6210569895826007E-2</v>
      </c>
      <c r="AG377">
        <f t="shared" si="18"/>
        <v>6.5339970908685958E-4</v>
      </c>
      <c r="AH377">
        <f t="shared" si="18"/>
        <v>-5.3202699760493286E-2</v>
      </c>
      <c r="AI377">
        <f t="shared" si="18"/>
        <v>1.3549702977042718E-2</v>
      </c>
      <c r="AJ377">
        <f t="shared" si="18"/>
        <v>-3.393104529230051E-2</v>
      </c>
      <c r="AK377">
        <f t="shared" si="18"/>
        <v>-9.8098592075359318E-3</v>
      </c>
      <c r="AL377">
        <f t="shared" si="18"/>
        <v>-6.0541333836359582E-2</v>
      </c>
      <c r="AM377">
        <f t="shared" si="18"/>
        <v>1.1395964327853413E-2</v>
      </c>
      <c r="AN377">
        <f t="shared" si="18"/>
        <v>1.1243086348667043E-2</v>
      </c>
      <c r="AO377">
        <f t="shared" si="18"/>
        <v>-0.28432736400287861</v>
      </c>
      <c r="AP377">
        <f t="shared" si="18"/>
        <v>5.1583130841854473E-2</v>
      </c>
      <c r="AQ377">
        <f t="shared" si="18"/>
        <v>-4.1303775087966586E-2</v>
      </c>
      <c r="AR377">
        <f t="shared" si="18"/>
        <v>-5.9492150994043327E-2</v>
      </c>
      <c r="AS377">
        <f t="shared" si="18"/>
        <v>-2.0949302275837908E-2</v>
      </c>
      <c r="AT377">
        <f t="shared" si="18"/>
        <v>9.3754539700744266E-2</v>
      </c>
      <c r="AU377">
        <f t="shared" si="18"/>
        <v>3.4503058818325126E-2</v>
      </c>
      <c r="AV377">
        <f t="shared" si="18"/>
        <v>1.2542727735095807E-2</v>
      </c>
      <c r="AW377">
        <f t="shared" si="18"/>
        <v>5.9542673450457568E-3</v>
      </c>
      <c r="AX377">
        <f t="shared" si="18"/>
        <v>-1.739974475325589E-3</v>
      </c>
      <c r="AY377">
        <f t="shared" si="18"/>
        <v>-5.2725829610246362E-2</v>
      </c>
      <c r="AZ377">
        <f t="shared" si="18"/>
        <v>3.1332645705442717E-2</v>
      </c>
      <c r="BA377">
        <f t="shared" si="18"/>
        <v>-5.164477095391045E-2</v>
      </c>
      <c r="BB377">
        <f t="shared" si="18"/>
        <v>-5.0356871649817045E-2</v>
      </c>
      <c r="BC377">
        <f t="shared" si="18"/>
        <v>-1.0600402625128441E-3</v>
      </c>
      <c r="BD377">
        <f t="shared" si="18"/>
        <v>5.3853986320574629E-2</v>
      </c>
    </row>
    <row r="378" spans="1:56" x14ac:dyDescent="0.2">
      <c r="A378" s="2">
        <v>8</v>
      </c>
      <c r="B378">
        <f>CORREL($I2:$I365,B2:B365)</f>
        <v>6.6888843408568878E-3</v>
      </c>
      <c r="C378">
        <f t="shared" ref="C378:BD378" si="19">CORREL($I2:$I365,C2:C365)</f>
        <v>0.18046987373146264</v>
      </c>
      <c r="D378">
        <f t="shared" si="19"/>
        <v>7.3898802965369159E-2</v>
      </c>
      <c r="E378">
        <f t="shared" si="19"/>
        <v>1.6050660159053768E-2</v>
      </c>
      <c r="F378">
        <f t="shared" si="19"/>
        <v>0.14894546807649903</v>
      </c>
      <c r="G378">
        <f t="shared" si="19"/>
        <v>0.70425408062234318</v>
      </c>
      <c r="H378">
        <f t="shared" si="19"/>
        <v>-1.5258513234006907E-2</v>
      </c>
      <c r="I378">
        <f t="shared" si="19"/>
        <v>1</v>
      </c>
      <c r="J378">
        <f t="shared" si="19"/>
        <v>0.21292090176970616</v>
      </c>
      <c r="K378">
        <f t="shared" si="19"/>
        <v>-1.8745079765484084E-2</v>
      </c>
      <c r="L378">
        <f t="shared" si="19"/>
        <v>0.16867700789011519</v>
      </c>
      <c r="M378">
        <f t="shared" si="19"/>
        <v>0.29054866123457795</v>
      </c>
      <c r="N378">
        <f t="shared" si="19"/>
        <v>5.9680348448339408E-2</v>
      </c>
      <c r="O378">
        <f t="shared" si="19"/>
        <v>0.20782301881392068</v>
      </c>
      <c r="P378">
        <f t="shared" si="19"/>
        <v>0.13526682363067458</v>
      </c>
      <c r="Q378">
        <f t="shared" si="19"/>
        <v>0.19420545351342963</v>
      </c>
      <c r="R378">
        <f t="shared" si="19"/>
        <v>6.0471272261538339E-2</v>
      </c>
      <c r="S378">
        <f t="shared" si="19"/>
        <v>3.5257866348730536E-2</v>
      </c>
      <c r="T378">
        <f t="shared" si="19"/>
        <v>0.15179423128885472</v>
      </c>
      <c r="U378">
        <f t="shared" si="19"/>
        <v>-1.2756381642912637E-2</v>
      </c>
      <c r="V378">
        <f t="shared" si="19"/>
        <v>0.14499185192994934</v>
      </c>
      <c r="W378">
        <f t="shared" si="19"/>
        <v>-2.9775030404992801E-2</v>
      </c>
      <c r="X378">
        <f t="shared" si="19"/>
        <v>0.17061706184741088</v>
      </c>
      <c r="Y378">
        <f t="shared" si="19"/>
        <v>-5.0896131834389556E-3</v>
      </c>
      <c r="Z378">
        <f t="shared" si="19"/>
        <v>8.0448372083759392E-2</v>
      </c>
      <c r="AA378">
        <f t="shared" si="19"/>
        <v>0.13460822844568571</v>
      </c>
      <c r="AB378">
        <f t="shared" si="19"/>
        <v>4.5105163116342377E-2</v>
      </c>
      <c r="AC378">
        <f t="shared" si="19"/>
        <v>0.16137197529622879</v>
      </c>
      <c r="AD378">
        <f t="shared" si="19"/>
        <v>0.30500234082544192</v>
      </c>
      <c r="AE378">
        <f t="shared" si="19"/>
        <v>0.3833079501487332</v>
      </c>
      <c r="AF378">
        <f t="shared" si="19"/>
        <v>7.357416199613577E-2</v>
      </c>
      <c r="AG378">
        <f t="shared" si="19"/>
        <v>0.1588558493951838</v>
      </c>
      <c r="AH378">
        <f t="shared" si="19"/>
        <v>-1.9960915177143136E-2</v>
      </c>
      <c r="AI378">
        <f t="shared" si="19"/>
        <v>0.11507733987063001</v>
      </c>
      <c r="AJ378">
        <f t="shared" si="19"/>
        <v>7.8981216063847684E-2</v>
      </c>
      <c r="AK378">
        <f t="shared" si="19"/>
        <v>0.19802011222945121</v>
      </c>
      <c r="AL378">
        <f t="shared" si="19"/>
        <v>-2.9716504805412321E-2</v>
      </c>
      <c r="AM378">
        <f t="shared" si="19"/>
        <v>-5.5353184818665135E-2</v>
      </c>
      <c r="AN378">
        <f t="shared" si="19"/>
        <v>-6.0402268588372644E-2</v>
      </c>
      <c r="AO378">
        <f t="shared" si="19"/>
        <v>5.1876226339930595E-2</v>
      </c>
      <c r="AP378">
        <f t="shared" si="19"/>
        <v>2.9232516574982222E-2</v>
      </c>
      <c r="AQ378">
        <f t="shared" si="19"/>
        <v>9.1420050755160104E-2</v>
      </c>
      <c r="AR378">
        <f t="shared" si="19"/>
        <v>0.17795665995075141</v>
      </c>
      <c r="AS378">
        <f t="shared" si="19"/>
        <v>0.11689012017066856</v>
      </c>
      <c r="AT378">
        <f t="shared" si="19"/>
        <v>0.18844780123333166</v>
      </c>
      <c r="AU378">
        <f t="shared" si="19"/>
        <v>7.4053618594710742E-3</v>
      </c>
      <c r="AV378">
        <f t="shared" si="19"/>
        <v>3.2947903698743737E-2</v>
      </c>
      <c r="AW378">
        <f t="shared" si="19"/>
        <v>0.12632918687562536</v>
      </c>
      <c r="AX378">
        <f t="shared" si="19"/>
        <v>0.89270520481143933</v>
      </c>
      <c r="AY378">
        <f t="shared" si="19"/>
        <v>0.16872990629567905</v>
      </c>
      <c r="AZ378">
        <f t="shared" si="19"/>
        <v>-4.5304015338617123E-2</v>
      </c>
      <c r="BA378">
        <f t="shared" si="19"/>
        <v>-0.18939277883486508</v>
      </c>
      <c r="BB378">
        <f t="shared" si="19"/>
        <v>0.23531311388923137</v>
      </c>
      <c r="BC378">
        <f t="shared" si="19"/>
        <v>8.2514245038905143E-2</v>
      </c>
      <c r="BD378">
        <f t="shared" si="19"/>
        <v>0.16330777100760163</v>
      </c>
    </row>
    <row r="379" spans="1:56" x14ac:dyDescent="0.2">
      <c r="A379" s="2">
        <v>9</v>
      </c>
      <c r="B379">
        <f>CORREL($J2:$J365,B2:B365)</f>
        <v>0.33640398767960711</v>
      </c>
      <c r="C379">
        <f t="shared" ref="C379:BD379" si="20">CORREL($J2:$J365,C2:C365)</f>
        <v>0.38496892480713496</v>
      </c>
      <c r="D379">
        <f t="shared" si="20"/>
        <v>0.45320993203551818</v>
      </c>
      <c r="E379">
        <f t="shared" si="20"/>
        <v>2.7745712941404974E-2</v>
      </c>
      <c r="F379">
        <f t="shared" si="20"/>
        <v>0.27721294724509499</v>
      </c>
      <c r="G379">
        <f t="shared" si="20"/>
        <v>0.19298123052149507</v>
      </c>
      <c r="H379">
        <f t="shared" si="20"/>
        <v>-4.2046638922179531E-3</v>
      </c>
      <c r="I379">
        <f t="shared" si="20"/>
        <v>0.21292090176970616</v>
      </c>
      <c r="J379">
        <f t="shared" si="20"/>
        <v>1</v>
      </c>
      <c r="K379">
        <f t="shared" si="20"/>
        <v>0.40582636267435795</v>
      </c>
      <c r="L379">
        <f t="shared" si="20"/>
        <v>0.36294352207563968</v>
      </c>
      <c r="M379">
        <f t="shared" si="20"/>
        <v>5.7815076576533453E-2</v>
      </c>
      <c r="N379">
        <f t="shared" si="20"/>
        <v>2.0053621876690693E-2</v>
      </c>
      <c r="O379">
        <f t="shared" si="20"/>
        <v>7.6396196597128929E-2</v>
      </c>
      <c r="P379">
        <f t="shared" si="20"/>
        <v>0.56702311658425364</v>
      </c>
      <c r="Q379">
        <f t="shared" si="20"/>
        <v>0.49133315862457339</v>
      </c>
      <c r="R379">
        <f t="shared" si="20"/>
        <v>0.44416858859697472</v>
      </c>
      <c r="S379">
        <f t="shared" si="20"/>
        <v>0.41483425577673538</v>
      </c>
      <c r="T379">
        <f t="shared" si="20"/>
        <v>0.3917988276493673</v>
      </c>
      <c r="U379">
        <f t="shared" si="20"/>
        <v>0.13662907360427315</v>
      </c>
      <c r="V379">
        <f t="shared" si="20"/>
        <v>0.42251967077966907</v>
      </c>
      <c r="W379">
        <f t="shared" si="20"/>
        <v>0.33490536618406513</v>
      </c>
      <c r="X379">
        <f t="shared" si="20"/>
        <v>0.29054689368327996</v>
      </c>
      <c r="Y379">
        <f t="shared" si="20"/>
        <v>0.29022551454504836</v>
      </c>
      <c r="Z379">
        <f t="shared" si="20"/>
        <v>0.30696139482371881</v>
      </c>
      <c r="AA379">
        <f t="shared" si="20"/>
        <v>0.42330608530797958</v>
      </c>
      <c r="AB379">
        <f t="shared" si="20"/>
        <v>-0.16058108573432814</v>
      </c>
      <c r="AC379">
        <f t="shared" si="20"/>
        <v>0.34414974430885503</v>
      </c>
      <c r="AD379">
        <f t="shared" si="20"/>
        <v>0.19011082737818449</v>
      </c>
      <c r="AE379">
        <f t="shared" si="20"/>
        <v>0.35286894706372512</v>
      </c>
      <c r="AF379">
        <f t="shared" si="20"/>
        <v>0.25028721295724721</v>
      </c>
      <c r="AG379">
        <f t="shared" si="20"/>
        <v>0.2409481444747627</v>
      </c>
      <c r="AH379">
        <f t="shared" si="20"/>
        <v>0.24638175857941202</v>
      </c>
      <c r="AI379">
        <f t="shared" si="20"/>
        <v>0.22166338298390406</v>
      </c>
      <c r="AJ379">
        <f t="shared" si="20"/>
        <v>0.42188434441775929</v>
      </c>
      <c r="AK379">
        <f t="shared" si="20"/>
        <v>0.10787252993323106</v>
      </c>
      <c r="AL379">
        <f t="shared" si="20"/>
        <v>0.3066836734472459</v>
      </c>
      <c r="AM379">
        <f t="shared" si="20"/>
        <v>0.19371430330525646</v>
      </c>
      <c r="AN379">
        <f t="shared" si="20"/>
        <v>0.18801041277543803</v>
      </c>
      <c r="AO379">
        <f t="shared" si="20"/>
        <v>0.14517961934207874</v>
      </c>
      <c r="AP379">
        <f t="shared" si="20"/>
        <v>0.25269716875862869</v>
      </c>
      <c r="AQ379">
        <f t="shared" si="20"/>
        <v>0.22892948116851111</v>
      </c>
      <c r="AR379">
        <f t="shared" si="20"/>
        <v>0.44321645640715129</v>
      </c>
      <c r="AS379">
        <f t="shared" si="20"/>
        <v>0.44592569931258952</v>
      </c>
      <c r="AT379">
        <f t="shared" si="20"/>
        <v>0.51056114602676839</v>
      </c>
      <c r="AU379">
        <f t="shared" si="20"/>
        <v>6.2103796148569946E-3</v>
      </c>
      <c r="AV379">
        <f t="shared" si="20"/>
        <v>4.8552389743818307E-2</v>
      </c>
      <c r="AW379">
        <f t="shared" si="20"/>
        <v>0.53183707930615121</v>
      </c>
      <c r="AX379">
        <f t="shared" si="20"/>
        <v>0.20901616034626339</v>
      </c>
      <c r="AY379">
        <f t="shared" si="20"/>
        <v>-3.6889192906619711E-2</v>
      </c>
      <c r="AZ379">
        <f t="shared" si="20"/>
        <v>-8.4828265422941834E-2</v>
      </c>
      <c r="BA379">
        <f t="shared" si="20"/>
        <v>-2.1262956227643723E-2</v>
      </c>
      <c r="BB379">
        <f t="shared" si="20"/>
        <v>0.54309315224242771</v>
      </c>
      <c r="BC379">
        <f t="shared" si="20"/>
        <v>0.32902988710368042</v>
      </c>
      <c r="BD379">
        <f t="shared" si="20"/>
        <v>0.59275367304212612</v>
      </c>
    </row>
    <row r="380" spans="1:56" x14ac:dyDescent="0.2">
      <c r="A380" s="2">
        <v>10</v>
      </c>
      <c r="B380">
        <f>CORREL($K2:$K365,B2:B365)</f>
        <v>0.48328740390968061</v>
      </c>
      <c r="C380">
        <f t="shared" ref="C380:BD380" si="21">CORREL($K2:$K365,C2:C365)</f>
        <v>0.37117192646061725</v>
      </c>
      <c r="D380">
        <f t="shared" si="21"/>
        <v>0.50620163124540984</v>
      </c>
      <c r="E380">
        <f t="shared" si="21"/>
        <v>0.38682222568309327</v>
      </c>
      <c r="F380">
        <f t="shared" si="21"/>
        <v>3.392488346323707E-2</v>
      </c>
      <c r="G380">
        <f t="shared" si="21"/>
        <v>-3.0776016386685059E-2</v>
      </c>
      <c r="H380">
        <f t="shared" si="21"/>
        <v>9.5771110842039806E-2</v>
      </c>
      <c r="I380">
        <f t="shared" si="21"/>
        <v>-1.8745079765484084E-2</v>
      </c>
      <c r="J380">
        <f t="shared" si="21"/>
        <v>0.40582636267435795</v>
      </c>
      <c r="K380">
        <f t="shared" si="21"/>
        <v>1.0000000000000002</v>
      </c>
      <c r="L380">
        <f t="shared" si="21"/>
        <v>0.40511771442599687</v>
      </c>
      <c r="M380">
        <f t="shared" si="21"/>
        <v>-2.3598649010057794E-2</v>
      </c>
      <c r="N380">
        <f t="shared" si="21"/>
        <v>3.0996663571946165E-2</v>
      </c>
      <c r="O380">
        <f t="shared" si="21"/>
        <v>-0.13888898244353431</v>
      </c>
      <c r="P380">
        <f t="shared" si="21"/>
        <v>0.46676694257011242</v>
      </c>
      <c r="Q380">
        <f t="shared" si="21"/>
        <v>0.28730007190652568</v>
      </c>
      <c r="R380">
        <f t="shared" si="21"/>
        <v>0.44759576335676676</v>
      </c>
      <c r="S380">
        <f t="shared" si="21"/>
        <v>0.55563513269263065</v>
      </c>
      <c r="T380">
        <f t="shared" si="21"/>
        <v>0.46332761618216167</v>
      </c>
      <c r="U380">
        <f t="shared" si="21"/>
        <v>0.489096151703105</v>
      </c>
      <c r="V380">
        <f t="shared" si="21"/>
        <v>0.60872907399213105</v>
      </c>
      <c r="W380">
        <f t="shared" si="21"/>
        <v>0.52797634370249635</v>
      </c>
      <c r="X380">
        <f t="shared" si="21"/>
        <v>0.30994938544606454</v>
      </c>
      <c r="Y380">
        <f t="shared" si="21"/>
        <v>0.53897022495342128</v>
      </c>
      <c r="Z380">
        <f t="shared" si="21"/>
        <v>0.31091267179292953</v>
      </c>
      <c r="AA380">
        <f t="shared" si="21"/>
        <v>0.61693404314679656</v>
      </c>
      <c r="AB380">
        <f t="shared" si="21"/>
        <v>-0.14076722757011781</v>
      </c>
      <c r="AC380">
        <f t="shared" si="21"/>
        <v>0.46877665903188009</v>
      </c>
      <c r="AD380">
        <f t="shared" si="21"/>
        <v>-6.9932795020912972E-2</v>
      </c>
      <c r="AE380">
        <f t="shared" si="21"/>
        <v>0.31848643513995439</v>
      </c>
      <c r="AF380">
        <f t="shared" si="21"/>
        <v>0.4293050182163532</v>
      </c>
      <c r="AG380">
        <f t="shared" si="21"/>
        <v>0.23503014659868179</v>
      </c>
      <c r="AH380">
        <f t="shared" si="21"/>
        <v>0.41478947197315752</v>
      </c>
      <c r="AI380">
        <f t="shared" si="21"/>
        <v>0.3776084534933638</v>
      </c>
      <c r="AJ380">
        <f t="shared" si="21"/>
        <v>0.46465223456525401</v>
      </c>
      <c r="AK380">
        <f t="shared" si="21"/>
        <v>0.44387392674964593</v>
      </c>
      <c r="AL380">
        <f t="shared" si="21"/>
        <v>0.42660900988337414</v>
      </c>
      <c r="AM380">
        <f t="shared" si="21"/>
        <v>0.52102643901318646</v>
      </c>
      <c r="AN380">
        <f t="shared" si="21"/>
        <v>0.52383595983543552</v>
      </c>
      <c r="AO380">
        <f t="shared" si="21"/>
        <v>-0.30150885947055162</v>
      </c>
      <c r="AP380">
        <f t="shared" si="21"/>
        <v>9.3882772654545879E-2</v>
      </c>
      <c r="AQ380">
        <f t="shared" si="21"/>
        <v>0.35222629422180818</v>
      </c>
      <c r="AR380">
        <f t="shared" si="21"/>
        <v>0.34780528805638244</v>
      </c>
      <c r="AS380">
        <f t="shared" si="21"/>
        <v>0.42712808686266934</v>
      </c>
      <c r="AT380">
        <f t="shared" si="21"/>
        <v>0.31111648760439342</v>
      </c>
      <c r="AU380">
        <f t="shared" si="21"/>
        <v>0.254303997138699</v>
      </c>
      <c r="AV380">
        <f t="shared" si="21"/>
        <v>1.4778303427854503E-2</v>
      </c>
      <c r="AW380">
        <f t="shared" si="21"/>
        <v>0.45971449211768889</v>
      </c>
      <c r="AX380">
        <f t="shared" si="21"/>
        <v>-3.9764848939609451E-2</v>
      </c>
      <c r="AY380">
        <f t="shared" si="21"/>
        <v>-0.1908014084865757</v>
      </c>
      <c r="AZ380">
        <f t="shared" si="21"/>
        <v>2.0657005790834074E-2</v>
      </c>
      <c r="BA380">
        <f t="shared" si="21"/>
        <v>8.3284892291256817E-3</v>
      </c>
      <c r="BB380">
        <f t="shared" si="21"/>
        <v>0.48784227932773028</v>
      </c>
      <c r="BC380">
        <f t="shared" si="21"/>
        <v>0.44004195692971748</v>
      </c>
      <c r="BD380">
        <f t="shared" si="21"/>
        <v>0.59068507790982017</v>
      </c>
    </row>
    <row r="381" spans="1:56" x14ac:dyDescent="0.2">
      <c r="A381" s="2">
        <v>11</v>
      </c>
      <c r="B381">
        <f>CORREL($L2:$L365,B2:B365)</f>
        <v>0.18190847818518446</v>
      </c>
      <c r="C381">
        <f t="shared" ref="C381:BD381" si="22">CORREL($L2:$L365,C2:C365)</f>
        <v>0.17439564094863275</v>
      </c>
      <c r="D381">
        <f t="shared" si="22"/>
        <v>0.27077645237039355</v>
      </c>
      <c r="E381">
        <f t="shared" si="22"/>
        <v>0.16117447066352392</v>
      </c>
      <c r="F381">
        <f t="shared" si="22"/>
        <v>4.4604507785542521E-2</v>
      </c>
      <c r="G381">
        <f t="shared" si="22"/>
        <v>0.18350158119897916</v>
      </c>
      <c r="H381">
        <f t="shared" si="22"/>
        <v>1.0309149482166163E-2</v>
      </c>
      <c r="I381">
        <f t="shared" si="22"/>
        <v>0.16867700789011519</v>
      </c>
      <c r="J381">
        <f t="shared" si="22"/>
        <v>0.36294352207563968</v>
      </c>
      <c r="K381">
        <f t="shared" si="22"/>
        <v>0.40511771442599687</v>
      </c>
      <c r="L381">
        <f t="shared" si="22"/>
        <v>1</v>
      </c>
      <c r="M381">
        <f t="shared" si="22"/>
        <v>5.5171818172268315E-2</v>
      </c>
      <c r="N381">
        <f t="shared" si="22"/>
        <v>0.12373042157524046</v>
      </c>
      <c r="O381">
        <f t="shared" si="22"/>
        <v>0.12751623249656682</v>
      </c>
      <c r="P381">
        <f t="shared" si="22"/>
        <v>0.37917181659491528</v>
      </c>
      <c r="Q381">
        <f t="shared" si="22"/>
        <v>0.27149011161841174</v>
      </c>
      <c r="R381">
        <f t="shared" si="22"/>
        <v>0.28146568319009146</v>
      </c>
      <c r="S381">
        <f t="shared" si="22"/>
        <v>0.44626105395886856</v>
      </c>
      <c r="T381">
        <f t="shared" si="22"/>
        <v>0.154364676226418</v>
      </c>
      <c r="U381">
        <f t="shared" si="22"/>
        <v>0.15231364100343217</v>
      </c>
      <c r="V381">
        <f t="shared" si="22"/>
        <v>0.2357142326243806</v>
      </c>
      <c r="W381">
        <f t="shared" si="22"/>
        <v>0.15884552619503511</v>
      </c>
      <c r="X381">
        <f t="shared" si="22"/>
        <v>0.1923479177660995</v>
      </c>
      <c r="Y381">
        <f t="shared" si="22"/>
        <v>0.16932322987251905</v>
      </c>
      <c r="Z381">
        <f t="shared" si="22"/>
        <v>0.26402591384275181</v>
      </c>
      <c r="AA381">
        <f t="shared" si="22"/>
        <v>0.2126969288694455</v>
      </c>
      <c r="AB381">
        <f t="shared" si="22"/>
        <v>-0.16261554508838794</v>
      </c>
      <c r="AC381">
        <f t="shared" si="22"/>
        <v>0.38384840092550981</v>
      </c>
      <c r="AD381">
        <f t="shared" si="22"/>
        <v>0.1216371165719594</v>
      </c>
      <c r="AE381">
        <f t="shared" si="22"/>
        <v>0.18376450086318752</v>
      </c>
      <c r="AF381">
        <f t="shared" si="22"/>
        <v>9.0203089705032546E-2</v>
      </c>
      <c r="AG381">
        <f t="shared" si="22"/>
        <v>0.1022038548804103</v>
      </c>
      <c r="AH381">
        <f t="shared" si="22"/>
        <v>6.9621163124690133E-2</v>
      </c>
      <c r="AI381">
        <f t="shared" si="22"/>
        <v>0.28693089227608293</v>
      </c>
      <c r="AJ381">
        <f t="shared" si="22"/>
        <v>0.42008325721120748</v>
      </c>
      <c r="AK381">
        <f t="shared" si="22"/>
        <v>0.19034348183998778</v>
      </c>
      <c r="AL381">
        <f t="shared" si="22"/>
        <v>0.22114812566058872</v>
      </c>
      <c r="AM381">
        <f t="shared" si="22"/>
        <v>9.9461509691452704E-2</v>
      </c>
      <c r="AN381">
        <f t="shared" si="22"/>
        <v>8.9329520868569087E-2</v>
      </c>
      <c r="AO381">
        <f t="shared" si="22"/>
        <v>9.0054360532133754E-2</v>
      </c>
      <c r="AP381">
        <f t="shared" si="22"/>
        <v>0.1618549519442132</v>
      </c>
      <c r="AQ381">
        <f t="shared" si="22"/>
        <v>0.13076180893117101</v>
      </c>
      <c r="AR381">
        <f t="shared" si="22"/>
        <v>0.27491586756379038</v>
      </c>
      <c r="AS381">
        <f t="shared" si="22"/>
        <v>0.21146257758181766</v>
      </c>
      <c r="AT381">
        <f t="shared" si="22"/>
        <v>0.31645105783311489</v>
      </c>
      <c r="AU381">
        <f t="shared" si="22"/>
        <v>9.7194409006244084E-2</v>
      </c>
      <c r="AV381">
        <f t="shared" si="22"/>
        <v>6.8512704600679736E-2</v>
      </c>
      <c r="AW381">
        <f t="shared" si="22"/>
        <v>0.27239673879369269</v>
      </c>
      <c r="AX381">
        <f t="shared" si="22"/>
        <v>0.16801202631682605</v>
      </c>
      <c r="AY381">
        <f t="shared" si="22"/>
        <v>-2.918776258427019E-2</v>
      </c>
      <c r="AZ381">
        <f t="shared" si="22"/>
        <v>-4.2350906489923242E-2</v>
      </c>
      <c r="BA381">
        <f t="shared" si="22"/>
        <v>-1.084414811395483E-2</v>
      </c>
      <c r="BB381">
        <f t="shared" si="22"/>
        <v>0.38284721691044332</v>
      </c>
      <c r="BC381">
        <f t="shared" si="22"/>
        <v>0.24148572733106596</v>
      </c>
      <c r="BD381">
        <f t="shared" si="22"/>
        <v>0.67816687596210679</v>
      </c>
    </row>
    <row r="382" spans="1:56" x14ac:dyDescent="0.2">
      <c r="A382" s="2">
        <v>12</v>
      </c>
      <c r="B382">
        <f>CORREL($M2:$M365,B2:B365)</f>
        <v>3.9635340784344365E-2</v>
      </c>
      <c r="C382">
        <f t="shared" ref="C382:BD382" si="23">CORREL($M2:$M365,C2:C365)</f>
        <v>4.4691172629215327E-2</v>
      </c>
      <c r="D382">
        <f t="shared" si="23"/>
        <v>4.4141634674776858E-2</v>
      </c>
      <c r="E382">
        <f t="shared" si="23"/>
        <v>-3.5917279942946238E-2</v>
      </c>
      <c r="F382">
        <f t="shared" si="23"/>
        <v>1.8844678772099232E-2</v>
      </c>
      <c r="G382">
        <f t="shared" si="23"/>
        <v>0.38668915288554512</v>
      </c>
      <c r="H382">
        <f t="shared" si="23"/>
        <v>-7.5592453255784203E-2</v>
      </c>
      <c r="I382">
        <f t="shared" si="23"/>
        <v>0.29054866123457795</v>
      </c>
      <c r="J382">
        <f t="shared" si="23"/>
        <v>5.7815076576533453E-2</v>
      </c>
      <c r="K382">
        <f t="shared" si="23"/>
        <v>-2.3598649010057794E-2</v>
      </c>
      <c r="L382">
        <f t="shared" si="23"/>
        <v>5.5171818172268315E-2</v>
      </c>
      <c r="M382">
        <f t="shared" si="23"/>
        <v>1</v>
      </c>
      <c r="N382">
        <f t="shared" si="23"/>
        <v>0.5135435142196022</v>
      </c>
      <c r="O382">
        <f t="shared" si="23"/>
        <v>0.14380967109862544</v>
      </c>
      <c r="P382">
        <f t="shared" si="23"/>
        <v>2.9531050816185136E-2</v>
      </c>
      <c r="Q382">
        <f t="shared" si="23"/>
        <v>1.3229400464260063E-2</v>
      </c>
      <c r="R382">
        <f t="shared" si="23"/>
        <v>-2.4684658113832511E-2</v>
      </c>
      <c r="S382">
        <f t="shared" si="23"/>
        <v>8.8665673526915234E-2</v>
      </c>
      <c r="T382">
        <f t="shared" si="23"/>
        <v>2.3980080909133091E-3</v>
      </c>
      <c r="U382">
        <f t="shared" si="23"/>
        <v>7.0970078643003101E-2</v>
      </c>
      <c r="V382">
        <f t="shared" si="23"/>
        <v>5.3987965234400984E-2</v>
      </c>
      <c r="W382">
        <f t="shared" si="23"/>
        <v>6.2710511583413231E-2</v>
      </c>
      <c r="X382">
        <f t="shared" si="23"/>
        <v>1.0873965048582995E-2</v>
      </c>
      <c r="Y382">
        <f t="shared" si="23"/>
        <v>6.5520184061529331E-3</v>
      </c>
      <c r="Z382">
        <f t="shared" si="23"/>
        <v>0.10337231367838776</v>
      </c>
      <c r="AA382">
        <f t="shared" si="23"/>
        <v>3.2699436049513586E-2</v>
      </c>
      <c r="AB382">
        <f t="shared" si="23"/>
        <v>7.1081898942555136E-2</v>
      </c>
      <c r="AC382">
        <f t="shared" si="23"/>
        <v>9.3606336584938651E-2</v>
      </c>
      <c r="AD382">
        <f t="shared" si="23"/>
        <v>0.107447420856649</v>
      </c>
      <c r="AE382">
        <f t="shared" si="23"/>
        <v>9.3526315223252429E-2</v>
      </c>
      <c r="AF382">
        <f t="shared" si="23"/>
        <v>-1.2204938129988329E-2</v>
      </c>
      <c r="AG382">
        <f t="shared" si="23"/>
        <v>0.1693143454218852</v>
      </c>
      <c r="AH382">
        <f t="shared" si="23"/>
        <v>-5.9726519624920558E-2</v>
      </c>
      <c r="AI382">
        <f t="shared" si="23"/>
        <v>5.4242250316970254E-2</v>
      </c>
      <c r="AJ382">
        <f t="shared" si="23"/>
        <v>3.4606212551848328E-2</v>
      </c>
      <c r="AK382">
        <f t="shared" si="23"/>
        <v>0.20548401491936735</v>
      </c>
      <c r="AL382">
        <f t="shared" si="23"/>
        <v>-1.6334251853147977E-2</v>
      </c>
      <c r="AM382">
        <f t="shared" si="23"/>
        <v>7.6128795783275499E-2</v>
      </c>
      <c r="AN382">
        <f t="shared" si="23"/>
        <v>5.1685050888755177E-2</v>
      </c>
      <c r="AO382">
        <f t="shared" si="23"/>
        <v>-0.16738391753608503</v>
      </c>
      <c r="AP382">
        <f t="shared" si="23"/>
        <v>2.4050607137137421E-2</v>
      </c>
      <c r="AQ382">
        <f t="shared" si="23"/>
        <v>3.3042346265276766E-2</v>
      </c>
      <c r="AR382">
        <f t="shared" si="23"/>
        <v>-3.9305129590869901E-3</v>
      </c>
      <c r="AS382">
        <f t="shared" si="23"/>
        <v>1.9215184978680442E-2</v>
      </c>
      <c r="AT382">
        <f t="shared" si="23"/>
        <v>0.13222179093843225</v>
      </c>
      <c r="AU382">
        <f t="shared" si="23"/>
        <v>-3.3541742897574452E-2</v>
      </c>
      <c r="AV382">
        <f t="shared" si="23"/>
        <v>4.6811330267874152E-2</v>
      </c>
      <c r="AW382">
        <f t="shared" si="23"/>
        <v>3.5825534086829737E-2</v>
      </c>
      <c r="AX382">
        <f t="shared" si="23"/>
        <v>0.28846713790176426</v>
      </c>
      <c r="AY382">
        <f t="shared" si="23"/>
        <v>-1.6719446693837681E-2</v>
      </c>
      <c r="AZ382">
        <f t="shared" si="23"/>
        <v>-0.11460123757175698</v>
      </c>
      <c r="BA382">
        <f t="shared" si="23"/>
        <v>-8.2259396600969537E-2</v>
      </c>
      <c r="BB382">
        <f t="shared" si="23"/>
        <v>2.222278340073244E-2</v>
      </c>
      <c r="BC382">
        <f t="shared" si="23"/>
        <v>8.6807790658601461E-2</v>
      </c>
      <c r="BD382">
        <f t="shared" si="23"/>
        <v>4.3693020306016739E-2</v>
      </c>
    </row>
    <row r="383" spans="1:56" x14ac:dyDescent="0.2">
      <c r="A383" s="2">
        <v>13</v>
      </c>
      <c r="B383">
        <f>CORREL($N2:$N365,B2:B365)</f>
        <v>4.2812609588145742E-2</v>
      </c>
      <c r="C383">
        <f t="shared" ref="C383:BD383" si="24">CORREL($N2:$N365,C2:C365)</f>
        <v>4.2214532029955738E-2</v>
      </c>
      <c r="D383">
        <f t="shared" si="24"/>
        <v>3.4471182453412491E-2</v>
      </c>
      <c r="E383">
        <f t="shared" si="24"/>
        <v>1.0346660626148526E-3</v>
      </c>
      <c r="F383">
        <f t="shared" si="24"/>
        <v>1.2499218476283108E-2</v>
      </c>
      <c r="G383">
        <f t="shared" si="24"/>
        <v>6.9417182614997163E-3</v>
      </c>
      <c r="H383">
        <f t="shared" si="24"/>
        <v>6.0696318087802101E-3</v>
      </c>
      <c r="I383">
        <f t="shared" si="24"/>
        <v>5.9680348448339408E-2</v>
      </c>
      <c r="J383">
        <f t="shared" si="24"/>
        <v>2.0053621876690693E-2</v>
      </c>
      <c r="K383">
        <f t="shared" si="24"/>
        <v>3.0996663571946165E-2</v>
      </c>
      <c r="L383">
        <f t="shared" si="24"/>
        <v>0.12373042157524046</v>
      </c>
      <c r="M383">
        <f t="shared" si="24"/>
        <v>0.5135435142196022</v>
      </c>
      <c r="N383">
        <f t="shared" si="24"/>
        <v>1</v>
      </c>
      <c r="O383">
        <f t="shared" si="24"/>
        <v>6.6186525382817843E-2</v>
      </c>
      <c r="P383">
        <f t="shared" si="24"/>
        <v>5.8049297800054002E-2</v>
      </c>
      <c r="Q383">
        <f t="shared" si="24"/>
        <v>1.3146264737754385E-2</v>
      </c>
      <c r="R383">
        <f t="shared" si="24"/>
        <v>-9.1728239138223564E-3</v>
      </c>
      <c r="S383">
        <f t="shared" si="24"/>
        <v>0.13910620361878387</v>
      </c>
      <c r="T383">
        <f t="shared" si="24"/>
        <v>4.6673682717580593E-2</v>
      </c>
      <c r="U383">
        <f t="shared" si="24"/>
        <v>0.10824919942476349</v>
      </c>
      <c r="V383">
        <f t="shared" si="24"/>
        <v>6.0054714037025218E-2</v>
      </c>
      <c r="W383">
        <f t="shared" si="24"/>
        <v>0.11636000364864686</v>
      </c>
      <c r="X383">
        <f t="shared" si="24"/>
        <v>-4.2099182456289713E-2</v>
      </c>
      <c r="Y383">
        <f t="shared" si="24"/>
        <v>1.5503806743908551E-4</v>
      </c>
      <c r="Z383">
        <f t="shared" si="24"/>
        <v>0.20607436408368493</v>
      </c>
      <c r="AA383">
        <f t="shared" si="24"/>
        <v>3.2412120197653597E-2</v>
      </c>
      <c r="AB383">
        <f t="shared" si="24"/>
        <v>9.6894277180625432E-2</v>
      </c>
      <c r="AC383">
        <f t="shared" si="24"/>
        <v>7.5069000348144385E-2</v>
      </c>
      <c r="AD383">
        <f t="shared" si="24"/>
        <v>4.8957035046320665E-2</v>
      </c>
      <c r="AE383">
        <f t="shared" si="24"/>
        <v>1.957929277097065E-2</v>
      </c>
      <c r="AF383">
        <f t="shared" si="24"/>
        <v>3.8792472896416443E-2</v>
      </c>
      <c r="AG383">
        <f t="shared" si="24"/>
        <v>6.864234825432218E-2</v>
      </c>
      <c r="AH383">
        <f t="shared" si="24"/>
        <v>-0.15587335818760012</v>
      </c>
      <c r="AI383">
        <f t="shared" si="24"/>
        <v>1.6034035190182136E-2</v>
      </c>
      <c r="AJ383">
        <f t="shared" si="24"/>
        <v>-4.7369967466869591E-3</v>
      </c>
      <c r="AK383">
        <f t="shared" si="24"/>
        <v>0.27884784194380147</v>
      </c>
      <c r="AL383">
        <f t="shared" si="24"/>
        <v>-7.5580291026227348E-2</v>
      </c>
      <c r="AM383">
        <f t="shared" si="24"/>
        <v>9.6107599610414804E-2</v>
      </c>
      <c r="AN383">
        <f t="shared" si="24"/>
        <v>7.6067669767455326E-2</v>
      </c>
      <c r="AO383">
        <f t="shared" si="24"/>
        <v>-0.10151608848019254</v>
      </c>
      <c r="AP383">
        <f t="shared" si="24"/>
        <v>-4.9194258109299657E-2</v>
      </c>
      <c r="AQ383">
        <f t="shared" si="24"/>
        <v>-1.3723616518822666E-2</v>
      </c>
      <c r="AR383">
        <f t="shared" si="24"/>
        <v>1.2303504790885838E-2</v>
      </c>
      <c r="AS383">
        <f t="shared" si="24"/>
        <v>3.9121133378357507E-2</v>
      </c>
      <c r="AT383">
        <f t="shared" si="24"/>
        <v>7.3958475840640289E-2</v>
      </c>
      <c r="AU383">
        <f t="shared" si="24"/>
        <v>5.1017007412769863E-2</v>
      </c>
      <c r="AV383">
        <f t="shared" si="24"/>
        <v>2.0790214795949714E-2</v>
      </c>
      <c r="AW383">
        <f t="shared" si="24"/>
        <v>2.8663510778215971E-2</v>
      </c>
      <c r="AX383">
        <f t="shared" si="24"/>
        <v>3.1504451352632225E-2</v>
      </c>
      <c r="AY383">
        <f t="shared" si="24"/>
        <v>-3.5352631256334359E-2</v>
      </c>
      <c r="AZ383">
        <f t="shared" si="24"/>
        <v>-8.8795102043811816E-2</v>
      </c>
      <c r="BA383">
        <f t="shared" si="24"/>
        <v>-6.5555794648299831E-2</v>
      </c>
      <c r="BB383">
        <f t="shared" si="24"/>
        <v>1.5823054577664208E-2</v>
      </c>
      <c r="BC383">
        <f t="shared" si="24"/>
        <v>0.11094767313199509</v>
      </c>
      <c r="BD383">
        <f t="shared" si="24"/>
        <v>2.0132123485353211E-2</v>
      </c>
    </row>
    <row r="384" spans="1:56" x14ac:dyDescent="0.2">
      <c r="A384" s="2">
        <v>14</v>
      </c>
      <c r="B384">
        <f>CORREL($O2:$O365,B2:B365)</f>
        <v>-3.0273042231205582E-2</v>
      </c>
      <c r="C384">
        <f t="shared" ref="C384:BD384" si="25">CORREL($O2:$O365,C2:C365)</f>
        <v>-5.63852757850581E-2</v>
      </c>
      <c r="D384">
        <f t="shared" si="25"/>
        <v>9.1922508418178749E-3</v>
      </c>
      <c r="E384">
        <f t="shared" si="25"/>
        <v>-2.6261371408354085E-2</v>
      </c>
      <c r="F384">
        <f t="shared" si="25"/>
        <v>0.13435285442876621</v>
      </c>
      <c r="G384">
        <f t="shared" si="25"/>
        <v>0.35587053140342118</v>
      </c>
      <c r="H384">
        <f t="shared" si="25"/>
        <v>3.9211541232034859E-2</v>
      </c>
      <c r="I384">
        <f t="shared" si="25"/>
        <v>0.20782301881392068</v>
      </c>
      <c r="J384">
        <f t="shared" si="25"/>
        <v>7.6396196597128929E-2</v>
      </c>
      <c r="K384">
        <f t="shared" si="25"/>
        <v>-0.13888898244353431</v>
      </c>
      <c r="L384">
        <f t="shared" si="25"/>
        <v>0.12751623249656682</v>
      </c>
      <c r="M384">
        <f t="shared" si="25"/>
        <v>0.14380967109862544</v>
      </c>
      <c r="N384">
        <f t="shared" si="25"/>
        <v>6.6186525382817843E-2</v>
      </c>
      <c r="O384">
        <f t="shared" si="25"/>
        <v>1</v>
      </c>
      <c r="P384">
        <f t="shared" si="25"/>
        <v>2.9204765298092728E-2</v>
      </c>
      <c r="Q384">
        <f t="shared" si="25"/>
        <v>-4.0581967150564759E-2</v>
      </c>
      <c r="R384">
        <f t="shared" si="25"/>
        <v>1.5086970661289967E-2</v>
      </c>
      <c r="S384">
        <f t="shared" si="25"/>
        <v>-0.13674637256414066</v>
      </c>
      <c r="T384">
        <f t="shared" si="25"/>
        <v>-3.4298886322318478E-2</v>
      </c>
      <c r="U384">
        <f t="shared" si="25"/>
        <v>-1.2484170302199985E-2</v>
      </c>
      <c r="V384">
        <f t="shared" si="25"/>
        <v>-5.8100572207603132E-3</v>
      </c>
      <c r="W384">
        <f t="shared" si="25"/>
        <v>4.094108368707816E-3</v>
      </c>
      <c r="X384">
        <f t="shared" si="25"/>
        <v>2.0536179199261331E-2</v>
      </c>
      <c r="Y384">
        <f t="shared" si="25"/>
        <v>-0.15016759871141502</v>
      </c>
      <c r="Z384">
        <f t="shared" si="25"/>
        <v>5.2721565828066544E-2</v>
      </c>
      <c r="AA384">
        <f t="shared" si="25"/>
        <v>-1.6729817800492802E-2</v>
      </c>
      <c r="AB384">
        <f t="shared" si="25"/>
        <v>3.8241878645057299E-2</v>
      </c>
      <c r="AC384">
        <f t="shared" si="25"/>
        <v>8.9086184711890698E-2</v>
      </c>
      <c r="AD384">
        <f t="shared" si="25"/>
        <v>0.11966732262935625</v>
      </c>
      <c r="AE384">
        <f t="shared" si="25"/>
        <v>8.4138081470340367E-2</v>
      </c>
      <c r="AF384">
        <f t="shared" si="25"/>
        <v>-4.9833599845387185E-3</v>
      </c>
      <c r="AG384">
        <f t="shared" si="25"/>
        <v>1.3944478171904853E-2</v>
      </c>
      <c r="AH384">
        <f t="shared" si="25"/>
        <v>-5.4825414049302551E-2</v>
      </c>
      <c r="AI384">
        <f t="shared" si="25"/>
        <v>-4.2023176203746182E-2</v>
      </c>
      <c r="AJ384">
        <f t="shared" si="25"/>
        <v>7.4997952963155581E-3</v>
      </c>
      <c r="AK384">
        <f t="shared" si="25"/>
        <v>0.18151420145502389</v>
      </c>
      <c r="AL384">
        <f t="shared" si="25"/>
        <v>2.1445800182004107E-2</v>
      </c>
      <c r="AM384">
        <f t="shared" si="25"/>
        <v>-3.2339040413332652E-2</v>
      </c>
      <c r="AN384">
        <f t="shared" si="25"/>
        <v>-4.1040192229856928E-2</v>
      </c>
      <c r="AO384">
        <f t="shared" si="25"/>
        <v>6.0411336765820427E-3</v>
      </c>
      <c r="AP384">
        <f t="shared" si="25"/>
        <v>5.3717454156949521E-2</v>
      </c>
      <c r="AQ384">
        <f t="shared" si="25"/>
        <v>5.8713517111147896E-2</v>
      </c>
      <c r="AR384">
        <f t="shared" si="25"/>
        <v>6.3276450378152382E-2</v>
      </c>
      <c r="AS384">
        <f t="shared" si="25"/>
        <v>6.9563243583916487E-3</v>
      </c>
      <c r="AT384">
        <f t="shared" si="25"/>
        <v>5.1411647651852993E-2</v>
      </c>
      <c r="AU384">
        <f t="shared" si="25"/>
        <v>-1.8011497267701064E-2</v>
      </c>
      <c r="AV384">
        <f t="shared" si="25"/>
        <v>1.4017964767618745E-2</v>
      </c>
      <c r="AW384">
        <f t="shared" si="25"/>
        <v>1.03722203833202E-2</v>
      </c>
      <c r="AX384">
        <f t="shared" si="25"/>
        <v>0.38942786375185096</v>
      </c>
      <c r="AY384">
        <f t="shared" si="25"/>
        <v>-1.5635240104664707E-3</v>
      </c>
      <c r="AZ384">
        <f t="shared" si="25"/>
        <v>-1.6253810068152946E-2</v>
      </c>
      <c r="BA384">
        <f t="shared" si="25"/>
        <v>-8.9934892176519107E-2</v>
      </c>
      <c r="BB384">
        <f t="shared" si="25"/>
        <v>2.1748108648287998E-2</v>
      </c>
      <c r="BC384">
        <f t="shared" si="25"/>
        <v>4.246805062430864E-2</v>
      </c>
      <c r="BD384">
        <f t="shared" si="25"/>
        <v>-2.1411686347053253E-2</v>
      </c>
    </row>
    <row r="385" spans="1:56" x14ac:dyDescent="0.2">
      <c r="A385" s="2">
        <v>15</v>
      </c>
      <c r="B385">
        <f>CORREL($P2:$P365,B2:B365)</f>
        <v>0.33855586756809097</v>
      </c>
      <c r="C385">
        <f t="shared" ref="C385:BD385" si="26">CORREL($P2:$P365,C2:C365)</f>
        <v>0.32540220937472203</v>
      </c>
      <c r="D385">
        <f t="shared" si="26"/>
        <v>0.45689780986112893</v>
      </c>
      <c r="E385">
        <f t="shared" si="26"/>
        <v>6.7766726279096676E-2</v>
      </c>
      <c r="F385">
        <f t="shared" si="26"/>
        <v>0.11579145180007243</v>
      </c>
      <c r="G385">
        <f t="shared" si="26"/>
        <v>0.12527635601522749</v>
      </c>
      <c r="H385">
        <f t="shared" si="26"/>
        <v>1.4526667631408001E-2</v>
      </c>
      <c r="I385">
        <f t="shared" si="26"/>
        <v>0.13526682363067458</v>
      </c>
      <c r="J385">
        <f t="shared" si="26"/>
        <v>0.56702311658425364</v>
      </c>
      <c r="K385">
        <f t="shared" si="26"/>
        <v>0.46676694257011242</v>
      </c>
      <c r="L385">
        <f t="shared" si="26"/>
        <v>0.37917181659491528</v>
      </c>
      <c r="M385">
        <f t="shared" si="26"/>
        <v>2.9531050816185136E-2</v>
      </c>
      <c r="N385">
        <f t="shared" si="26"/>
        <v>5.8049297800054002E-2</v>
      </c>
      <c r="O385">
        <f t="shared" si="26"/>
        <v>2.9204765298092728E-2</v>
      </c>
      <c r="P385">
        <f t="shared" si="26"/>
        <v>0.99999999999999989</v>
      </c>
      <c r="Q385">
        <f t="shared" si="26"/>
        <v>0.33318412604073255</v>
      </c>
      <c r="R385">
        <f t="shared" si="26"/>
        <v>0.54999995013713132</v>
      </c>
      <c r="S385">
        <f t="shared" si="26"/>
        <v>0.67836099246894588</v>
      </c>
      <c r="T385">
        <f t="shared" si="26"/>
        <v>0.38758435855233858</v>
      </c>
      <c r="U385">
        <f t="shared" si="26"/>
        <v>1.988156081508733E-3</v>
      </c>
      <c r="V385">
        <f t="shared" si="26"/>
        <v>0.408929132435082</v>
      </c>
      <c r="W385">
        <f t="shared" si="26"/>
        <v>0.30047249190076925</v>
      </c>
      <c r="X385">
        <f t="shared" si="26"/>
        <v>0.34325666084482614</v>
      </c>
      <c r="Y385">
        <f t="shared" si="26"/>
        <v>0.34134585952484331</v>
      </c>
      <c r="Z385">
        <f t="shared" si="26"/>
        <v>0.27676192841230562</v>
      </c>
      <c r="AA385">
        <f t="shared" si="26"/>
        <v>0.39074395880179419</v>
      </c>
      <c r="AB385">
        <f t="shared" si="26"/>
        <v>-0.12436374079962277</v>
      </c>
      <c r="AC385">
        <f t="shared" si="26"/>
        <v>0.42309217346665934</v>
      </c>
      <c r="AD385">
        <f t="shared" si="26"/>
        <v>0.15635196602356749</v>
      </c>
      <c r="AE385">
        <f t="shared" si="26"/>
        <v>0.2341837951953972</v>
      </c>
      <c r="AF385">
        <f t="shared" si="26"/>
        <v>0.27439808040978325</v>
      </c>
      <c r="AG385">
        <f t="shared" si="26"/>
        <v>0.21278710586471306</v>
      </c>
      <c r="AH385">
        <f t="shared" si="26"/>
        <v>0.21111775028257168</v>
      </c>
      <c r="AI385">
        <f t="shared" si="26"/>
        <v>0.32292009079366968</v>
      </c>
      <c r="AJ385">
        <f t="shared" si="26"/>
        <v>0.48030005810802268</v>
      </c>
      <c r="AK385">
        <f t="shared" si="26"/>
        <v>3.5135181872459932E-2</v>
      </c>
      <c r="AL385">
        <f t="shared" si="26"/>
        <v>0.270998129035871</v>
      </c>
      <c r="AM385">
        <f t="shared" si="26"/>
        <v>0.19009806186266734</v>
      </c>
      <c r="AN385">
        <f t="shared" si="26"/>
        <v>0.19313085013012915</v>
      </c>
      <c r="AO385">
        <f t="shared" si="26"/>
        <v>0.10317365210127584</v>
      </c>
      <c r="AP385">
        <f t="shared" si="26"/>
        <v>0.31581771828027655</v>
      </c>
      <c r="AQ385">
        <f t="shared" si="26"/>
        <v>0.1909922287089201</v>
      </c>
      <c r="AR385">
        <f t="shared" si="26"/>
        <v>0.43512683335285901</v>
      </c>
      <c r="AS385">
        <f t="shared" si="26"/>
        <v>0.52663318979949447</v>
      </c>
      <c r="AT385">
        <f t="shared" si="26"/>
        <v>0.4954579673099832</v>
      </c>
      <c r="AU385">
        <f t="shared" si="26"/>
        <v>5.1731784496877396E-2</v>
      </c>
      <c r="AV385">
        <f t="shared" si="26"/>
        <v>7.1562523232489517E-2</v>
      </c>
      <c r="AW385">
        <f t="shared" si="26"/>
        <v>0.48237173762498153</v>
      </c>
      <c r="AX385">
        <f t="shared" si="26"/>
        <v>0.13022909757442375</v>
      </c>
      <c r="AY385">
        <f t="shared" si="26"/>
        <v>-0.15659916631653567</v>
      </c>
      <c r="AZ385">
        <f t="shared" si="26"/>
        <v>1.2885672746948455E-2</v>
      </c>
      <c r="BA385">
        <f t="shared" si="26"/>
        <v>1.4154774136185783E-2</v>
      </c>
      <c r="BB385">
        <f t="shared" si="26"/>
        <v>0.4772380981573493</v>
      </c>
      <c r="BC385">
        <f t="shared" si="26"/>
        <v>0.36217947453683924</v>
      </c>
      <c r="BD385">
        <f t="shared" si="26"/>
        <v>0.81758694431773749</v>
      </c>
    </row>
    <row r="386" spans="1:56" x14ac:dyDescent="0.2">
      <c r="A386" s="2">
        <v>16</v>
      </c>
      <c r="B386">
        <f>CORREL($Q2:$Q365,B2:B365)</f>
        <v>0.25703445044097106</v>
      </c>
      <c r="C386">
        <f t="shared" ref="C386:BD386" si="27">CORREL($Q2:$Q365,C2:C365)</f>
        <v>0.24447798231167867</v>
      </c>
      <c r="D386">
        <f t="shared" si="27"/>
        <v>0.30903371675414465</v>
      </c>
      <c r="E386">
        <f t="shared" si="27"/>
        <v>6.2031414960155511E-2</v>
      </c>
      <c r="F386">
        <f t="shared" si="27"/>
        <v>8.5173392734975095E-2</v>
      </c>
      <c r="G386">
        <f t="shared" si="27"/>
        <v>8.9552411152864761E-2</v>
      </c>
      <c r="H386">
        <f t="shared" si="27"/>
        <v>-2.6296808353919718E-2</v>
      </c>
      <c r="I386">
        <f t="shared" si="27"/>
        <v>0.19420545351342963</v>
      </c>
      <c r="J386">
        <f t="shared" si="27"/>
        <v>0.49133315862457339</v>
      </c>
      <c r="K386">
        <f t="shared" si="27"/>
        <v>0.28730007190652568</v>
      </c>
      <c r="L386">
        <f t="shared" si="27"/>
        <v>0.27149011161841174</v>
      </c>
      <c r="M386">
        <f t="shared" si="27"/>
        <v>1.3229400464260063E-2</v>
      </c>
      <c r="N386">
        <f t="shared" si="27"/>
        <v>1.3146264737754385E-2</v>
      </c>
      <c r="O386">
        <f t="shared" si="27"/>
        <v>-4.0581967150564759E-2</v>
      </c>
      <c r="P386">
        <f t="shared" si="27"/>
        <v>0.33318412604073255</v>
      </c>
      <c r="Q386">
        <f t="shared" si="27"/>
        <v>1</v>
      </c>
      <c r="R386">
        <f t="shared" si="27"/>
        <v>0.45192897447259422</v>
      </c>
      <c r="S386">
        <f t="shared" si="27"/>
        <v>0.31725701438859216</v>
      </c>
      <c r="T386">
        <f t="shared" si="27"/>
        <v>0.31258190838842692</v>
      </c>
      <c r="U386">
        <f t="shared" si="27"/>
        <v>9.7699459204900918E-2</v>
      </c>
      <c r="V386">
        <f t="shared" si="27"/>
        <v>0.27882035554142931</v>
      </c>
      <c r="W386">
        <f t="shared" si="27"/>
        <v>0.16094799750138775</v>
      </c>
      <c r="X386">
        <f t="shared" si="27"/>
        <v>0.22189524608759303</v>
      </c>
      <c r="Y386">
        <f t="shared" si="27"/>
        <v>0.14655384309480105</v>
      </c>
      <c r="Z386">
        <f t="shared" si="27"/>
        <v>0.24711836945280394</v>
      </c>
      <c r="AA386">
        <f t="shared" si="27"/>
        <v>0.26909074565124175</v>
      </c>
      <c r="AB386">
        <f t="shared" si="27"/>
        <v>-0.22486930681142719</v>
      </c>
      <c r="AC386">
        <f t="shared" si="27"/>
        <v>0.25968678031629161</v>
      </c>
      <c r="AD386">
        <f t="shared" si="27"/>
        <v>0.115381704513737</v>
      </c>
      <c r="AE386">
        <f t="shared" si="27"/>
        <v>0.32460374775599282</v>
      </c>
      <c r="AF386">
        <f t="shared" si="27"/>
        <v>0.1479480477184423</v>
      </c>
      <c r="AG386">
        <f t="shared" si="27"/>
        <v>0.2156770136651498</v>
      </c>
      <c r="AH386">
        <f t="shared" si="27"/>
        <v>0.19035751254706065</v>
      </c>
      <c r="AI386">
        <f t="shared" si="27"/>
        <v>0.21912200764575024</v>
      </c>
      <c r="AJ386">
        <f t="shared" si="27"/>
        <v>0.28488335229196377</v>
      </c>
      <c r="AK386">
        <f t="shared" si="27"/>
        <v>5.2277143751202279E-2</v>
      </c>
      <c r="AL386">
        <f t="shared" si="27"/>
        <v>0.13391343140104081</v>
      </c>
      <c r="AM386">
        <f t="shared" si="27"/>
        <v>5.6901941230422644E-2</v>
      </c>
      <c r="AN386">
        <f t="shared" si="27"/>
        <v>6.2584304940630525E-2</v>
      </c>
      <c r="AO386">
        <f t="shared" si="27"/>
        <v>-1.4194888326429927E-2</v>
      </c>
      <c r="AP386">
        <f t="shared" si="27"/>
        <v>0.25188433934775439</v>
      </c>
      <c r="AQ386">
        <f t="shared" si="27"/>
        <v>0.23128775357211859</v>
      </c>
      <c r="AR386">
        <f t="shared" si="27"/>
        <v>0.33444867221560254</v>
      </c>
      <c r="AS386">
        <f t="shared" si="27"/>
        <v>0.28690034551210813</v>
      </c>
      <c r="AT386">
        <f t="shared" si="27"/>
        <v>0.32442248056133083</v>
      </c>
      <c r="AU386">
        <f t="shared" si="27"/>
        <v>0.16279461624440691</v>
      </c>
      <c r="AV386">
        <f t="shared" si="27"/>
        <v>9.5015596889285958E-2</v>
      </c>
      <c r="AW386">
        <f t="shared" si="27"/>
        <v>0.43622579930558653</v>
      </c>
      <c r="AX386">
        <f t="shared" si="27"/>
        <v>0.13690743804444278</v>
      </c>
      <c r="AY386">
        <f t="shared" si="27"/>
        <v>-1.7122427605183312E-2</v>
      </c>
      <c r="AZ386">
        <f t="shared" si="27"/>
        <v>3.9048401924706315E-2</v>
      </c>
      <c r="BA386">
        <f t="shared" si="27"/>
        <v>8.6162992283837295E-2</v>
      </c>
      <c r="BB386">
        <f t="shared" si="27"/>
        <v>0.40526865113318172</v>
      </c>
      <c r="BC386">
        <f t="shared" si="27"/>
        <v>0.15688956326764814</v>
      </c>
      <c r="BD386">
        <f t="shared" si="27"/>
        <v>0.35407960084367784</v>
      </c>
    </row>
    <row r="387" spans="1:56" x14ac:dyDescent="0.2">
      <c r="A387" s="2">
        <v>17</v>
      </c>
      <c r="B387">
        <f>CORREL($R2:$R365,B2:B365)</f>
        <v>0.256613981141391</v>
      </c>
      <c r="C387">
        <f t="shared" ref="C387:BD387" si="28">CORREL($R2:$R365,C2:C365)</f>
        <v>0.34841523330648583</v>
      </c>
      <c r="D387">
        <f t="shared" si="28"/>
        <v>0.39728277890247887</v>
      </c>
      <c r="E387">
        <f t="shared" si="28"/>
        <v>-3.7933540375906841E-3</v>
      </c>
      <c r="F387">
        <f t="shared" si="28"/>
        <v>6.8786704629329329E-2</v>
      </c>
      <c r="G387">
        <f t="shared" si="28"/>
        <v>7.0101099545305454E-2</v>
      </c>
      <c r="H387">
        <f t="shared" si="28"/>
        <v>3.6171370290534278E-2</v>
      </c>
      <c r="I387">
        <f t="shared" si="28"/>
        <v>6.0471272261538339E-2</v>
      </c>
      <c r="J387">
        <f t="shared" si="28"/>
        <v>0.44416858859697472</v>
      </c>
      <c r="K387">
        <f t="shared" si="28"/>
        <v>0.44759576335676676</v>
      </c>
      <c r="L387">
        <f t="shared" si="28"/>
        <v>0.28146568319009146</v>
      </c>
      <c r="M387">
        <f t="shared" si="28"/>
        <v>-2.4684658113832511E-2</v>
      </c>
      <c r="N387">
        <f t="shared" si="28"/>
        <v>-9.1728239138223564E-3</v>
      </c>
      <c r="O387">
        <f t="shared" si="28"/>
        <v>1.5086970661289967E-2</v>
      </c>
      <c r="P387">
        <f t="shared" si="28"/>
        <v>0.54999995013713132</v>
      </c>
      <c r="Q387">
        <f t="shared" si="28"/>
        <v>0.45192897447259422</v>
      </c>
      <c r="R387">
        <f t="shared" si="28"/>
        <v>1</v>
      </c>
      <c r="S387">
        <f t="shared" si="28"/>
        <v>0.56476890075100572</v>
      </c>
      <c r="T387">
        <f t="shared" si="28"/>
        <v>0.37592824845571854</v>
      </c>
      <c r="U387">
        <f t="shared" si="28"/>
        <v>-2.0737396417962128E-2</v>
      </c>
      <c r="V387">
        <f t="shared" si="28"/>
        <v>0.33076972680839484</v>
      </c>
      <c r="W387">
        <f t="shared" si="28"/>
        <v>0.15457566375433288</v>
      </c>
      <c r="X387">
        <f t="shared" si="28"/>
        <v>0.26413720941109681</v>
      </c>
      <c r="Y387">
        <f t="shared" si="28"/>
        <v>0.2105055834027918</v>
      </c>
      <c r="Z387">
        <f t="shared" si="28"/>
        <v>0.25817506636541177</v>
      </c>
      <c r="AA387">
        <f t="shared" si="28"/>
        <v>0.32893236452475016</v>
      </c>
      <c r="AB387">
        <f t="shared" si="28"/>
        <v>-0.19325792732668631</v>
      </c>
      <c r="AC387">
        <f t="shared" si="28"/>
        <v>0.35096463614276741</v>
      </c>
      <c r="AD387">
        <f t="shared" si="28"/>
        <v>5.9214009733552786E-2</v>
      </c>
      <c r="AE387">
        <f t="shared" si="28"/>
        <v>0.22602610906271647</v>
      </c>
      <c r="AF387">
        <f t="shared" si="28"/>
        <v>0.19734506683804626</v>
      </c>
      <c r="AG387">
        <f t="shared" si="28"/>
        <v>0.25475870703606368</v>
      </c>
      <c r="AH387">
        <f t="shared" si="28"/>
        <v>0.14083634814187934</v>
      </c>
      <c r="AI387">
        <f t="shared" si="28"/>
        <v>0.28486578740858892</v>
      </c>
      <c r="AJ387">
        <f t="shared" si="28"/>
        <v>0.4861322051883038</v>
      </c>
      <c r="AK387">
        <f t="shared" si="28"/>
        <v>-2.6110510387991646E-2</v>
      </c>
      <c r="AL387">
        <f t="shared" si="28"/>
        <v>0.2606504006146993</v>
      </c>
      <c r="AM387">
        <f t="shared" si="28"/>
        <v>1.1808268990154318E-2</v>
      </c>
      <c r="AN387">
        <f t="shared" si="28"/>
        <v>2.4677017181298676E-2</v>
      </c>
      <c r="AO387">
        <f t="shared" si="28"/>
        <v>-1.7377785462856274E-2</v>
      </c>
      <c r="AP387">
        <f t="shared" si="28"/>
        <v>0.4428814204855141</v>
      </c>
      <c r="AQ387">
        <f t="shared" si="28"/>
        <v>0.25474522768364294</v>
      </c>
      <c r="AR387">
        <f t="shared" si="28"/>
        <v>0.44072282944080732</v>
      </c>
      <c r="AS387">
        <f t="shared" si="28"/>
        <v>0.4058348403113084</v>
      </c>
      <c r="AT387">
        <f t="shared" si="28"/>
        <v>0.38765961497382539</v>
      </c>
      <c r="AU387">
        <f t="shared" si="28"/>
        <v>6.0691840036725515E-2</v>
      </c>
      <c r="AV387">
        <f t="shared" si="28"/>
        <v>-7.6877919191460416E-3</v>
      </c>
      <c r="AW387">
        <f t="shared" si="28"/>
        <v>0.42837044828474463</v>
      </c>
      <c r="AX387">
        <f t="shared" si="28"/>
        <v>8.6909580632235542E-2</v>
      </c>
      <c r="AY387">
        <f t="shared" si="28"/>
        <v>-0.11360565754169294</v>
      </c>
      <c r="AZ387">
        <f t="shared" si="28"/>
        <v>-3.6885696994321741E-3</v>
      </c>
      <c r="BA387">
        <f t="shared" si="28"/>
        <v>1.8193490716593139E-2</v>
      </c>
      <c r="BB387">
        <f t="shared" si="28"/>
        <v>0.45298938111903531</v>
      </c>
      <c r="BC387">
        <f t="shared" si="28"/>
        <v>0.28733805956896596</v>
      </c>
      <c r="BD387">
        <f t="shared" si="28"/>
        <v>0.80211658842543876</v>
      </c>
    </row>
    <row r="388" spans="1:56" x14ac:dyDescent="0.2">
      <c r="A388" s="2">
        <v>18</v>
      </c>
      <c r="B388">
        <f>CORREL($S2:$S365,B2:B365)</f>
        <v>0.66208688551330497</v>
      </c>
      <c r="C388">
        <f t="shared" ref="C388:BD388" si="29">CORREL($S2:$S365,C2:C365)</f>
        <v>0.42196460565158206</v>
      </c>
      <c r="D388">
        <f t="shared" si="29"/>
        <v>0.48900737429578228</v>
      </c>
      <c r="E388">
        <f t="shared" si="29"/>
        <v>0.45018156703051904</v>
      </c>
      <c r="F388">
        <f t="shared" si="29"/>
        <v>-0.1954487901577813</v>
      </c>
      <c r="G388">
        <f t="shared" si="29"/>
        <v>5.137477877726513E-2</v>
      </c>
      <c r="H388">
        <f t="shared" si="29"/>
        <v>7.59977830171049E-2</v>
      </c>
      <c r="I388">
        <f t="shared" si="29"/>
        <v>3.5257866348730536E-2</v>
      </c>
      <c r="J388">
        <f t="shared" si="29"/>
        <v>0.41483425577673538</v>
      </c>
      <c r="K388">
        <f t="shared" si="29"/>
        <v>0.55563513269263065</v>
      </c>
      <c r="L388">
        <f t="shared" si="29"/>
        <v>0.44626105395886856</v>
      </c>
      <c r="M388">
        <f t="shared" si="29"/>
        <v>8.8665673526915234E-2</v>
      </c>
      <c r="N388">
        <f t="shared" si="29"/>
        <v>0.13910620361878387</v>
      </c>
      <c r="O388">
        <f t="shared" si="29"/>
        <v>-0.13674637256414066</v>
      </c>
      <c r="P388">
        <f t="shared" si="29"/>
        <v>0.67836099246894588</v>
      </c>
      <c r="Q388">
        <f t="shared" si="29"/>
        <v>0.31725701438859216</v>
      </c>
      <c r="R388">
        <f t="shared" si="29"/>
        <v>0.56476890075100572</v>
      </c>
      <c r="S388">
        <f t="shared" si="29"/>
        <v>1</v>
      </c>
      <c r="T388">
        <f t="shared" si="29"/>
        <v>0.5586343515106752</v>
      </c>
      <c r="U388">
        <f t="shared" si="29"/>
        <v>0.39904327168941045</v>
      </c>
      <c r="V388">
        <f t="shared" si="29"/>
        <v>0.70897099886435844</v>
      </c>
      <c r="W388">
        <f t="shared" si="29"/>
        <v>0.50884334971741685</v>
      </c>
      <c r="X388">
        <f t="shared" si="29"/>
        <v>0.36177668960556553</v>
      </c>
      <c r="Y388">
        <f t="shared" si="29"/>
        <v>0.68799791172866853</v>
      </c>
      <c r="Z388">
        <f t="shared" si="29"/>
        <v>0.35569839371928996</v>
      </c>
      <c r="AA388">
        <f t="shared" si="29"/>
        <v>0.69010283652775462</v>
      </c>
      <c r="AB388">
        <f t="shared" si="29"/>
        <v>-5.9236804920486573E-2</v>
      </c>
      <c r="AC388">
        <f t="shared" si="29"/>
        <v>0.61361817827775167</v>
      </c>
      <c r="AD388">
        <f t="shared" si="29"/>
        <v>4.7222005898345361E-2</v>
      </c>
      <c r="AE388">
        <f t="shared" si="29"/>
        <v>0.17585005706749343</v>
      </c>
      <c r="AF388">
        <f t="shared" si="29"/>
        <v>0.60764179421787312</v>
      </c>
      <c r="AG388">
        <f t="shared" si="29"/>
        <v>0.13197442180478766</v>
      </c>
      <c r="AH388">
        <f t="shared" si="29"/>
        <v>0.45873920208707314</v>
      </c>
      <c r="AI388">
        <f t="shared" si="29"/>
        <v>0.68701822918321975</v>
      </c>
      <c r="AJ388">
        <f t="shared" si="29"/>
        <v>0.43450854668498234</v>
      </c>
      <c r="AK388">
        <f t="shared" si="29"/>
        <v>0.57586979047861886</v>
      </c>
      <c r="AL388">
        <f t="shared" si="29"/>
        <v>0.39680749211016941</v>
      </c>
      <c r="AM388">
        <f t="shared" si="29"/>
        <v>0.70138686608183098</v>
      </c>
      <c r="AN388">
        <f t="shared" si="29"/>
        <v>0.70263615166870974</v>
      </c>
      <c r="AO388">
        <f t="shared" si="29"/>
        <v>-7.010672975211827E-3</v>
      </c>
      <c r="AP388">
        <f t="shared" si="29"/>
        <v>0.10888953447082869</v>
      </c>
      <c r="AQ388">
        <f t="shared" si="29"/>
        <v>0.45054090734892716</v>
      </c>
      <c r="AR388">
        <f t="shared" si="29"/>
        <v>0.40544321252162085</v>
      </c>
      <c r="AS388">
        <f t="shared" si="29"/>
        <v>0.44461908635164771</v>
      </c>
      <c r="AT388">
        <f t="shared" si="29"/>
        <v>0.50466717953864226</v>
      </c>
      <c r="AU388">
        <f t="shared" si="29"/>
        <v>0.26929562482325647</v>
      </c>
      <c r="AV388">
        <f t="shared" si="29"/>
        <v>4.1636406328978151E-2</v>
      </c>
      <c r="AW388">
        <f t="shared" si="29"/>
        <v>0.55179443136488437</v>
      </c>
      <c r="AX388">
        <f t="shared" si="29"/>
        <v>2.8707893649276547E-2</v>
      </c>
      <c r="AY388">
        <f t="shared" si="29"/>
        <v>-0.4265564990818197</v>
      </c>
      <c r="AZ388">
        <f t="shared" si="29"/>
        <v>3.0018432222785506E-2</v>
      </c>
      <c r="BA388">
        <f t="shared" si="29"/>
        <v>4.2429339823004737E-2</v>
      </c>
      <c r="BB388">
        <f t="shared" si="29"/>
        <v>0.50605725792793965</v>
      </c>
      <c r="BC388">
        <f t="shared" si="29"/>
        <v>0.51306406053502074</v>
      </c>
      <c r="BD388">
        <f t="shared" si="29"/>
        <v>0.77119250276868101</v>
      </c>
    </row>
    <row r="389" spans="1:56" x14ac:dyDescent="0.2">
      <c r="A389" s="2">
        <v>19</v>
      </c>
      <c r="B389">
        <f>CORREL($T2:$T365,B2:B365)</f>
        <v>0.40051485483763544</v>
      </c>
      <c r="C389">
        <f t="shared" ref="C389:BD389" si="30">CORREL($T2:$T365,C2:C365)</f>
        <v>0.47178335247317865</v>
      </c>
      <c r="D389">
        <f t="shared" si="30"/>
        <v>0.54186005991219022</v>
      </c>
      <c r="E389">
        <f t="shared" si="30"/>
        <v>0.1329100665318467</v>
      </c>
      <c r="F389">
        <f t="shared" si="30"/>
        <v>0.12531765963358019</v>
      </c>
      <c r="G389">
        <f t="shared" si="30"/>
        <v>0.10899860444081763</v>
      </c>
      <c r="H389">
        <f t="shared" si="30"/>
        <v>4.5845620208698638E-2</v>
      </c>
      <c r="I389">
        <f t="shared" si="30"/>
        <v>0.15179423128885472</v>
      </c>
      <c r="J389">
        <f t="shared" si="30"/>
        <v>0.3917988276493673</v>
      </c>
      <c r="K389">
        <f t="shared" si="30"/>
        <v>0.46332761618216167</v>
      </c>
      <c r="L389">
        <f t="shared" si="30"/>
        <v>0.154364676226418</v>
      </c>
      <c r="M389">
        <f t="shared" si="30"/>
        <v>2.3980080909133091E-3</v>
      </c>
      <c r="N389">
        <f t="shared" si="30"/>
        <v>4.6673682717580593E-2</v>
      </c>
      <c r="O389">
        <f t="shared" si="30"/>
        <v>-3.4298886322318478E-2</v>
      </c>
      <c r="P389">
        <f t="shared" si="30"/>
        <v>0.38758435855233858</v>
      </c>
      <c r="Q389">
        <f t="shared" si="30"/>
        <v>0.31258190838842692</v>
      </c>
      <c r="R389">
        <f t="shared" si="30"/>
        <v>0.37592824845571854</v>
      </c>
      <c r="S389">
        <f t="shared" si="30"/>
        <v>0.5586343515106752</v>
      </c>
      <c r="T389">
        <f t="shared" si="30"/>
        <v>1.0000000000000002</v>
      </c>
      <c r="U389">
        <f t="shared" si="30"/>
        <v>0.23947903942709914</v>
      </c>
      <c r="V389">
        <f t="shared" si="30"/>
        <v>0.55951462266198315</v>
      </c>
      <c r="W389">
        <f t="shared" si="30"/>
        <v>0.38616114189526429</v>
      </c>
      <c r="X389">
        <f t="shared" si="30"/>
        <v>0.29943514271509236</v>
      </c>
      <c r="Y389">
        <f t="shared" si="30"/>
        <v>0.39347512380519484</v>
      </c>
      <c r="Z389">
        <f t="shared" si="30"/>
        <v>0.253216997957803</v>
      </c>
      <c r="AA389">
        <f t="shared" si="30"/>
        <v>0.56113683137714265</v>
      </c>
      <c r="AB389">
        <f t="shared" si="30"/>
        <v>-0.23160656348089501</v>
      </c>
      <c r="AC389">
        <f t="shared" si="30"/>
        <v>0.34886986322993269</v>
      </c>
      <c r="AD389">
        <f t="shared" si="30"/>
        <v>8.9712562869336016E-2</v>
      </c>
      <c r="AE389">
        <f t="shared" si="30"/>
        <v>0.20513586022091865</v>
      </c>
      <c r="AF389">
        <f t="shared" si="30"/>
        <v>0.28603597577688566</v>
      </c>
      <c r="AG389">
        <f t="shared" si="30"/>
        <v>0.24759532343991739</v>
      </c>
      <c r="AH389">
        <f t="shared" si="30"/>
        <v>0.30364930088348413</v>
      </c>
      <c r="AI389">
        <f t="shared" si="30"/>
        <v>0.23494992347753316</v>
      </c>
      <c r="AJ389">
        <f t="shared" si="30"/>
        <v>0.57433577750744502</v>
      </c>
      <c r="AK389">
        <f t="shared" si="30"/>
        <v>0.23930528079804678</v>
      </c>
      <c r="AL389">
        <f t="shared" si="30"/>
        <v>0.10781755060860777</v>
      </c>
      <c r="AM389">
        <f t="shared" si="30"/>
        <v>0.25209249755596053</v>
      </c>
      <c r="AN389">
        <f t="shared" si="30"/>
        <v>0.25587269395692869</v>
      </c>
      <c r="AO389">
        <f t="shared" si="30"/>
        <v>9.1928935884687646E-2</v>
      </c>
      <c r="AP389">
        <f t="shared" si="30"/>
        <v>9.0070473807415077E-2</v>
      </c>
      <c r="AQ389">
        <f t="shared" si="30"/>
        <v>0.19660416534907241</v>
      </c>
      <c r="AR389">
        <f t="shared" si="30"/>
        <v>0.35272563031257975</v>
      </c>
      <c r="AS389">
        <f t="shared" si="30"/>
        <v>0.45395143479686123</v>
      </c>
      <c r="AT389">
        <f t="shared" si="30"/>
        <v>0.48700429974432657</v>
      </c>
      <c r="AU389">
        <f t="shared" si="30"/>
        <v>1.1830655879426282E-2</v>
      </c>
      <c r="AV389">
        <f t="shared" si="30"/>
        <v>6.2456463804115347E-2</v>
      </c>
      <c r="AW389">
        <f t="shared" si="30"/>
        <v>0.56004905738977961</v>
      </c>
      <c r="AX389">
        <f t="shared" si="30"/>
        <v>0.13044493676423313</v>
      </c>
      <c r="AY389">
        <f t="shared" si="30"/>
        <v>3.3406622941183038E-2</v>
      </c>
      <c r="AZ389">
        <f t="shared" si="30"/>
        <v>-1.3179600005078345E-2</v>
      </c>
      <c r="BA389">
        <f t="shared" si="30"/>
        <v>-2.1868987251703581E-2</v>
      </c>
      <c r="BB389">
        <f t="shared" si="30"/>
        <v>0.57267859760052964</v>
      </c>
      <c r="BC389">
        <f t="shared" si="30"/>
        <v>0.32440884515576862</v>
      </c>
      <c r="BD389">
        <f t="shared" si="30"/>
        <v>0.67607933264169096</v>
      </c>
    </row>
    <row r="390" spans="1:56" x14ac:dyDescent="0.2">
      <c r="A390" s="2">
        <v>20</v>
      </c>
      <c r="B390">
        <f>CORREL($U2:$U365,B2:B365)</f>
        <v>0.31001169890267866</v>
      </c>
      <c r="C390">
        <f t="shared" ref="C390:BD390" si="31">CORREL($U2:$U365,C2:C365)</f>
        <v>0.31029395026369888</v>
      </c>
      <c r="D390">
        <f t="shared" si="31"/>
        <v>0.3339140363826032</v>
      </c>
      <c r="E390">
        <f t="shared" si="31"/>
        <v>0.10126203799790923</v>
      </c>
      <c r="F390">
        <f t="shared" si="31"/>
        <v>2.9567837864188463E-2</v>
      </c>
      <c r="G390">
        <f t="shared" si="31"/>
        <v>1.4160564534313642E-2</v>
      </c>
      <c r="H390">
        <f t="shared" si="31"/>
        <v>4.2226574108255643E-2</v>
      </c>
      <c r="I390">
        <f t="shared" si="31"/>
        <v>-1.2756381642912637E-2</v>
      </c>
      <c r="J390">
        <f t="shared" si="31"/>
        <v>0.13662907360427315</v>
      </c>
      <c r="K390">
        <f t="shared" si="31"/>
        <v>0.489096151703105</v>
      </c>
      <c r="L390">
        <f t="shared" si="31"/>
        <v>0.15231364100343217</v>
      </c>
      <c r="M390">
        <f t="shared" si="31"/>
        <v>7.0970078643003101E-2</v>
      </c>
      <c r="N390">
        <f t="shared" si="31"/>
        <v>0.10824919942476349</v>
      </c>
      <c r="O390">
        <f t="shared" si="31"/>
        <v>-1.2484170302199985E-2</v>
      </c>
      <c r="P390">
        <f t="shared" si="31"/>
        <v>1.988156081508733E-3</v>
      </c>
      <c r="Q390">
        <f t="shared" si="31"/>
        <v>9.7699459204900918E-2</v>
      </c>
      <c r="R390">
        <f t="shared" si="31"/>
        <v>-2.0737396417962128E-2</v>
      </c>
      <c r="S390">
        <f t="shared" si="31"/>
        <v>0.39904327168941045</v>
      </c>
      <c r="T390">
        <f t="shared" si="31"/>
        <v>0.23947903942709914</v>
      </c>
      <c r="U390">
        <f t="shared" si="31"/>
        <v>1.0000000000000002</v>
      </c>
      <c r="V390">
        <f t="shared" si="31"/>
        <v>0.40503804679415106</v>
      </c>
      <c r="W390">
        <f t="shared" si="31"/>
        <v>0.27579544198054612</v>
      </c>
      <c r="X390">
        <f t="shared" si="31"/>
        <v>6.6696389204122061E-2</v>
      </c>
      <c r="Y390">
        <f t="shared" si="31"/>
        <v>0.31295695104294913</v>
      </c>
      <c r="Z390">
        <f t="shared" si="31"/>
        <v>8.0567888703539953E-2</v>
      </c>
      <c r="AA390">
        <f t="shared" si="31"/>
        <v>0.42549457672306651</v>
      </c>
      <c r="AB390">
        <f t="shared" si="31"/>
        <v>5.0592571943876084E-2</v>
      </c>
      <c r="AC390">
        <f t="shared" si="31"/>
        <v>5.9868337522336806E-2</v>
      </c>
      <c r="AD390">
        <f t="shared" si="31"/>
        <v>-4.2357026266986814E-2</v>
      </c>
      <c r="AE390">
        <f t="shared" si="31"/>
        <v>0.19158743456695213</v>
      </c>
      <c r="AF390">
        <f t="shared" si="31"/>
        <v>0.30193783043886036</v>
      </c>
      <c r="AG390">
        <f t="shared" si="31"/>
        <v>-5.0570275673370094E-2</v>
      </c>
      <c r="AH390">
        <f t="shared" si="31"/>
        <v>0.17799568924448803</v>
      </c>
      <c r="AI390">
        <f t="shared" si="31"/>
        <v>0.11149389449909639</v>
      </c>
      <c r="AJ390">
        <f t="shared" si="31"/>
        <v>0.4430318224975614</v>
      </c>
      <c r="AK390">
        <f t="shared" si="31"/>
        <v>0.3803698416764219</v>
      </c>
      <c r="AL390">
        <f t="shared" si="31"/>
        <v>8.2779171680029285E-3</v>
      </c>
      <c r="AM390">
        <f t="shared" si="31"/>
        <v>0.28020153215915711</v>
      </c>
      <c r="AN390">
        <f t="shared" si="31"/>
        <v>0.27746537694921486</v>
      </c>
      <c r="AO390">
        <f t="shared" si="31"/>
        <v>-8.2429964034229832E-3</v>
      </c>
      <c r="AP390">
        <f t="shared" si="31"/>
        <v>-7.9840194354396835E-2</v>
      </c>
      <c r="AQ390">
        <f t="shared" si="31"/>
        <v>5.3465337220559413E-2</v>
      </c>
      <c r="AR390">
        <f t="shared" si="31"/>
        <v>0.12763674645572581</v>
      </c>
      <c r="AS390">
        <f t="shared" si="31"/>
        <v>9.6550307668038265E-2</v>
      </c>
      <c r="AT390">
        <f t="shared" si="31"/>
        <v>0.23815642253510436</v>
      </c>
      <c r="AU390">
        <f t="shared" si="31"/>
        <v>2.7663344915041986E-2</v>
      </c>
      <c r="AV390">
        <f t="shared" si="31"/>
        <v>-7.0486899922527102E-2</v>
      </c>
      <c r="AW390">
        <f t="shared" si="31"/>
        <v>0.32766735391226809</v>
      </c>
      <c r="AX390">
        <f t="shared" si="31"/>
        <v>1.8192631191426838E-3</v>
      </c>
      <c r="AY390">
        <f t="shared" si="31"/>
        <v>-1.9110538219080393E-2</v>
      </c>
      <c r="AZ390">
        <f t="shared" si="31"/>
        <v>-8.1588533937862917E-2</v>
      </c>
      <c r="BA390">
        <f t="shared" si="31"/>
        <v>7.0003768315624352E-3</v>
      </c>
      <c r="BB390">
        <f t="shared" si="31"/>
        <v>0.29620245517532712</v>
      </c>
      <c r="BC390">
        <f t="shared" si="31"/>
        <v>0.32184012473640983</v>
      </c>
      <c r="BD390">
        <f t="shared" si="31"/>
        <v>0.58204116818662022</v>
      </c>
    </row>
    <row r="391" spans="1:56" x14ac:dyDescent="0.2">
      <c r="A391" s="2">
        <v>21</v>
      </c>
      <c r="B391">
        <f>CORREL($V2:$V365,B2:B365)</f>
        <v>0.60260640627235962</v>
      </c>
      <c r="C391">
        <f t="shared" ref="C391:BD391" si="32">CORREL($V2:$V365,C2:C365)</f>
        <v>0.5045575079715231</v>
      </c>
      <c r="D391">
        <f t="shared" si="32"/>
        <v>0.54771464600460973</v>
      </c>
      <c r="E391">
        <f t="shared" si="32"/>
        <v>0.22034565650007634</v>
      </c>
      <c r="F391">
        <f t="shared" si="32"/>
        <v>7.5527647837086093E-3</v>
      </c>
      <c r="G391">
        <f t="shared" si="32"/>
        <v>0.12992316935078493</v>
      </c>
      <c r="H391">
        <f t="shared" si="32"/>
        <v>4.3236183704360283E-2</v>
      </c>
      <c r="I391">
        <f t="shared" si="32"/>
        <v>0.14499185192994934</v>
      </c>
      <c r="J391">
        <f t="shared" si="32"/>
        <v>0.42251967077966907</v>
      </c>
      <c r="K391">
        <f t="shared" si="32"/>
        <v>0.60872907399213105</v>
      </c>
      <c r="L391">
        <f t="shared" si="32"/>
        <v>0.2357142326243806</v>
      </c>
      <c r="M391">
        <f t="shared" si="32"/>
        <v>5.3987965234400984E-2</v>
      </c>
      <c r="N391">
        <f t="shared" si="32"/>
        <v>6.0054714037025218E-2</v>
      </c>
      <c r="O391">
        <f t="shared" si="32"/>
        <v>-5.8100572207603132E-3</v>
      </c>
      <c r="P391">
        <f t="shared" si="32"/>
        <v>0.408929132435082</v>
      </c>
      <c r="Q391">
        <f t="shared" si="32"/>
        <v>0.27882035554142931</v>
      </c>
      <c r="R391">
        <f t="shared" si="32"/>
        <v>0.33076972680839484</v>
      </c>
      <c r="S391">
        <f t="shared" si="32"/>
        <v>0.70897099886435844</v>
      </c>
      <c r="T391">
        <f t="shared" si="32"/>
        <v>0.55951462266198315</v>
      </c>
      <c r="U391">
        <f t="shared" si="32"/>
        <v>0.40503804679415106</v>
      </c>
      <c r="V391">
        <f t="shared" si="32"/>
        <v>1</v>
      </c>
      <c r="W391">
        <f t="shared" si="32"/>
        <v>0.5184519599011338</v>
      </c>
      <c r="X391">
        <f t="shared" si="32"/>
        <v>0.2084816921393822</v>
      </c>
      <c r="Y391">
        <f t="shared" si="32"/>
        <v>0.52800742434601255</v>
      </c>
      <c r="Z391">
        <f t="shared" si="32"/>
        <v>0.34055839418509559</v>
      </c>
      <c r="AA391">
        <f t="shared" si="32"/>
        <v>0.98603790518390844</v>
      </c>
      <c r="AB391">
        <f t="shared" si="32"/>
        <v>-0.15555018577394678</v>
      </c>
      <c r="AC391">
        <f t="shared" si="32"/>
        <v>0.38603211104227059</v>
      </c>
      <c r="AD391">
        <f t="shared" si="32"/>
        <v>0.13372830491399143</v>
      </c>
      <c r="AE391">
        <f t="shared" si="32"/>
        <v>0.27065761338948602</v>
      </c>
      <c r="AF391">
        <f t="shared" si="32"/>
        <v>0.43407779344561936</v>
      </c>
      <c r="AG391">
        <f t="shared" si="32"/>
        <v>0.31900113046250755</v>
      </c>
      <c r="AH391">
        <f t="shared" si="32"/>
        <v>0.4308545749343195</v>
      </c>
      <c r="AI391">
        <f t="shared" si="32"/>
        <v>0.40260850897410877</v>
      </c>
      <c r="AJ391">
        <f t="shared" si="32"/>
        <v>0.59531727646022214</v>
      </c>
      <c r="AK391">
        <f t="shared" si="32"/>
        <v>0.5431033049706675</v>
      </c>
      <c r="AL391">
        <f t="shared" si="32"/>
        <v>0.189400232248287</v>
      </c>
      <c r="AM391">
        <f t="shared" si="32"/>
        <v>0.50429271415377974</v>
      </c>
      <c r="AN391">
        <f t="shared" si="32"/>
        <v>0.52292026891876242</v>
      </c>
      <c r="AO391">
        <f t="shared" si="32"/>
        <v>3.162318001346489E-2</v>
      </c>
      <c r="AP391">
        <f t="shared" si="32"/>
        <v>5.067853564856073E-2</v>
      </c>
      <c r="AQ391">
        <f t="shared" si="32"/>
        <v>0.22878678859672827</v>
      </c>
      <c r="AR391">
        <f t="shared" si="32"/>
        <v>0.3596463325481018</v>
      </c>
      <c r="AS391">
        <f t="shared" si="32"/>
        <v>0.57120035127488988</v>
      </c>
      <c r="AT391">
        <f t="shared" si="32"/>
        <v>0.52581382754030059</v>
      </c>
      <c r="AU391">
        <f t="shared" si="32"/>
        <v>7.5881776866163889E-2</v>
      </c>
      <c r="AV391">
        <f t="shared" si="32"/>
        <v>5.4337955123905129E-2</v>
      </c>
      <c r="AW391">
        <f t="shared" si="32"/>
        <v>0.57821846938243415</v>
      </c>
      <c r="AX391">
        <f t="shared" si="32"/>
        <v>0.15053612764325722</v>
      </c>
      <c r="AY391">
        <f t="shared" si="32"/>
        <v>-0.10081454001312391</v>
      </c>
      <c r="AZ391">
        <f t="shared" si="32"/>
        <v>4.787758603262947E-3</v>
      </c>
      <c r="BA391">
        <f t="shared" si="32"/>
        <v>4.6995778722088363E-2</v>
      </c>
      <c r="BB391">
        <f t="shared" si="32"/>
        <v>0.54959632786559653</v>
      </c>
      <c r="BC391">
        <f t="shared" si="32"/>
        <v>0.54748406998507615</v>
      </c>
      <c r="BD391">
        <f t="shared" si="32"/>
        <v>0.87801574751089184</v>
      </c>
    </row>
    <row r="392" spans="1:56" x14ac:dyDescent="0.2">
      <c r="A392" s="2">
        <v>22</v>
      </c>
      <c r="B392">
        <f>CORREL($W2:$W365,B2:B365)</f>
        <v>0.39152961487835725</v>
      </c>
      <c r="C392">
        <f t="shared" ref="C392:BD392" si="33">CORREL($W2:$W365,C2:C365)</f>
        <v>0.30401803589853577</v>
      </c>
      <c r="D392">
        <f t="shared" si="33"/>
        <v>0.37495042600527084</v>
      </c>
      <c r="E392">
        <f t="shared" si="33"/>
        <v>0.17040965953214543</v>
      </c>
      <c r="F392">
        <f t="shared" si="33"/>
        <v>5.1305127255033549E-2</v>
      </c>
      <c r="G392">
        <f t="shared" si="33"/>
        <v>-3.680272456708622E-2</v>
      </c>
      <c r="H392">
        <f t="shared" si="33"/>
        <v>-8.9176572959319134E-2</v>
      </c>
      <c r="I392">
        <f t="shared" si="33"/>
        <v>-2.9775030404992801E-2</v>
      </c>
      <c r="J392">
        <f t="shared" si="33"/>
        <v>0.33490536618406513</v>
      </c>
      <c r="K392">
        <f t="shared" si="33"/>
        <v>0.52797634370249635</v>
      </c>
      <c r="L392">
        <f t="shared" si="33"/>
        <v>0.15884552619503511</v>
      </c>
      <c r="M392">
        <f t="shared" si="33"/>
        <v>6.2710511583413231E-2</v>
      </c>
      <c r="N392">
        <f t="shared" si="33"/>
        <v>0.11636000364864686</v>
      </c>
      <c r="O392">
        <f t="shared" si="33"/>
        <v>4.094108368707816E-3</v>
      </c>
      <c r="P392">
        <f t="shared" si="33"/>
        <v>0.30047249190076925</v>
      </c>
      <c r="Q392">
        <f t="shared" si="33"/>
        <v>0.16094799750138775</v>
      </c>
      <c r="R392">
        <f t="shared" si="33"/>
        <v>0.15457566375433288</v>
      </c>
      <c r="S392">
        <f t="shared" si="33"/>
        <v>0.50884334971741685</v>
      </c>
      <c r="T392">
        <f t="shared" si="33"/>
        <v>0.38616114189526429</v>
      </c>
      <c r="U392">
        <f t="shared" si="33"/>
        <v>0.27579544198054612</v>
      </c>
      <c r="V392">
        <f t="shared" si="33"/>
        <v>0.5184519599011338</v>
      </c>
      <c r="W392">
        <f t="shared" si="33"/>
        <v>1.0000000000000002</v>
      </c>
      <c r="X392">
        <f t="shared" si="33"/>
        <v>0.15151684235964694</v>
      </c>
      <c r="Y392">
        <f t="shared" si="33"/>
        <v>0.35324817890513477</v>
      </c>
      <c r="Z392">
        <f t="shared" si="33"/>
        <v>0.12281961028148491</v>
      </c>
      <c r="AA392">
        <f t="shared" si="33"/>
        <v>0.53206255463515095</v>
      </c>
      <c r="AB392">
        <f t="shared" si="33"/>
        <v>-0.23048041379568635</v>
      </c>
      <c r="AC392">
        <f t="shared" si="33"/>
        <v>0.27950940508595262</v>
      </c>
      <c r="AD392">
        <f t="shared" si="33"/>
        <v>0.11271760505602779</v>
      </c>
      <c r="AE392">
        <f t="shared" si="33"/>
        <v>0.17776631167173484</v>
      </c>
      <c r="AF392">
        <f t="shared" si="33"/>
        <v>0.21673898465281055</v>
      </c>
      <c r="AG392">
        <f t="shared" si="33"/>
        <v>0.19551171717951782</v>
      </c>
      <c r="AH392">
        <f t="shared" si="33"/>
        <v>0.29812196437602789</v>
      </c>
      <c r="AI392">
        <f t="shared" si="33"/>
        <v>0.21728522545882278</v>
      </c>
      <c r="AJ392">
        <f t="shared" si="33"/>
        <v>0.48310360372487698</v>
      </c>
      <c r="AK392">
        <f t="shared" si="33"/>
        <v>0.34678506286597105</v>
      </c>
      <c r="AL392">
        <f t="shared" si="33"/>
        <v>0.16203659123896935</v>
      </c>
      <c r="AM392">
        <f t="shared" si="33"/>
        <v>0.38888384244499602</v>
      </c>
      <c r="AN392">
        <f t="shared" si="33"/>
        <v>0.38912653279900189</v>
      </c>
      <c r="AO392">
        <f t="shared" si="33"/>
        <v>0.13953956612254981</v>
      </c>
      <c r="AP392">
        <f t="shared" si="33"/>
        <v>-2.8752077115684251E-2</v>
      </c>
      <c r="AQ392">
        <f t="shared" si="33"/>
        <v>0.18303328954863904</v>
      </c>
      <c r="AR392">
        <f t="shared" si="33"/>
        <v>0.25075842305729501</v>
      </c>
      <c r="AS392">
        <f t="shared" si="33"/>
        <v>0.40800490742768802</v>
      </c>
      <c r="AT392">
        <f t="shared" si="33"/>
        <v>0.33325253699991053</v>
      </c>
      <c r="AU392">
        <f t="shared" si="33"/>
        <v>4.2837868941450405E-2</v>
      </c>
      <c r="AV392">
        <f t="shared" si="33"/>
        <v>2.4651682602424865E-2</v>
      </c>
      <c r="AW392">
        <f t="shared" si="33"/>
        <v>0.47133256302652127</v>
      </c>
      <c r="AX392">
        <f t="shared" si="33"/>
        <v>-3.9251268444957972E-2</v>
      </c>
      <c r="AY392">
        <f t="shared" si="33"/>
        <v>-8.0411948375406134E-2</v>
      </c>
      <c r="AZ392">
        <f t="shared" si="33"/>
        <v>-1.0975871428445839E-2</v>
      </c>
      <c r="BA392">
        <f t="shared" si="33"/>
        <v>-2.5986967990912622E-2</v>
      </c>
      <c r="BB392">
        <f t="shared" si="33"/>
        <v>0.41533992587112528</v>
      </c>
      <c r="BC392">
        <f t="shared" si="33"/>
        <v>0.35583336634088447</v>
      </c>
      <c r="BD392">
        <f t="shared" si="33"/>
        <v>0.61061950435249712</v>
      </c>
    </row>
    <row r="393" spans="1:56" x14ac:dyDescent="0.2">
      <c r="A393" s="2">
        <v>23</v>
      </c>
      <c r="B393">
        <f>CORREL($X2:$X365,B2:B365)</f>
        <v>0.1060261317886223</v>
      </c>
      <c r="C393">
        <f t="shared" ref="C393:BD393" si="34">CORREL($X2:$X365,C2:C365)</f>
        <v>0.20189811176252287</v>
      </c>
      <c r="D393">
        <f t="shared" si="34"/>
        <v>0.37278175752538695</v>
      </c>
      <c r="E393">
        <f t="shared" si="34"/>
        <v>-7.7196181460443589E-2</v>
      </c>
      <c r="F393">
        <f t="shared" si="34"/>
        <v>9.6497829967464629E-2</v>
      </c>
      <c r="G393">
        <f t="shared" si="34"/>
        <v>0.18689788139194283</v>
      </c>
      <c r="H393">
        <f t="shared" si="34"/>
        <v>-5.2026055071048162E-2</v>
      </c>
      <c r="I393">
        <f t="shared" si="34"/>
        <v>0.17061706184741088</v>
      </c>
      <c r="J393">
        <f t="shared" si="34"/>
        <v>0.29054689368327996</v>
      </c>
      <c r="K393">
        <f t="shared" si="34"/>
        <v>0.30994938544606454</v>
      </c>
      <c r="L393">
        <f t="shared" si="34"/>
        <v>0.1923479177660995</v>
      </c>
      <c r="M393">
        <f t="shared" si="34"/>
        <v>1.0873965048582995E-2</v>
      </c>
      <c r="N393">
        <f t="shared" si="34"/>
        <v>-4.2099182456289713E-2</v>
      </c>
      <c r="O393">
        <f t="shared" si="34"/>
        <v>2.0536179199261331E-2</v>
      </c>
      <c r="P393">
        <f t="shared" si="34"/>
        <v>0.34325666084482614</v>
      </c>
      <c r="Q393">
        <f t="shared" si="34"/>
        <v>0.22189524608759303</v>
      </c>
      <c r="R393">
        <f t="shared" si="34"/>
        <v>0.26413720941109681</v>
      </c>
      <c r="S393">
        <f t="shared" si="34"/>
        <v>0.36177668960556553</v>
      </c>
      <c r="T393">
        <f t="shared" si="34"/>
        <v>0.29943514271509236</v>
      </c>
      <c r="U393">
        <f t="shared" si="34"/>
        <v>6.6696389204122061E-2</v>
      </c>
      <c r="V393">
        <f t="shared" si="34"/>
        <v>0.2084816921393822</v>
      </c>
      <c r="W393">
        <f t="shared" si="34"/>
        <v>0.15151684235964694</v>
      </c>
      <c r="X393">
        <f t="shared" si="34"/>
        <v>0.99999999999999978</v>
      </c>
      <c r="Y393">
        <f t="shared" si="34"/>
        <v>0.17108259958910535</v>
      </c>
      <c r="Z393">
        <f t="shared" si="34"/>
        <v>0.19721524854521214</v>
      </c>
      <c r="AA393">
        <f t="shared" si="34"/>
        <v>0.22294627874209527</v>
      </c>
      <c r="AB393">
        <f t="shared" si="34"/>
        <v>-0.25335917208874048</v>
      </c>
      <c r="AC393">
        <f t="shared" si="34"/>
        <v>0.18143963553951395</v>
      </c>
      <c r="AD393">
        <f t="shared" si="34"/>
        <v>2.8535130260980167E-2</v>
      </c>
      <c r="AE393">
        <f t="shared" si="34"/>
        <v>0.19387486238054666</v>
      </c>
      <c r="AF393">
        <f t="shared" si="34"/>
        <v>0.12701295192048462</v>
      </c>
      <c r="AG393">
        <f t="shared" si="34"/>
        <v>4.9353228020619866E-2</v>
      </c>
      <c r="AH393">
        <f t="shared" si="34"/>
        <v>2.3091427750613389E-2</v>
      </c>
      <c r="AI393">
        <f t="shared" si="34"/>
        <v>0.25850944110327989</v>
      </c>
      <c r="AJ393">
        <f t="shared" si="34"/>
        <v>0.44215001832909318</v>
      </c>
      <c r="AK393">
        <f t="shared" si="34"/>
        <v>9.7253534873162316E-3</v>
      </c>
      <c r="AL393">
        <f t="shared" si="34"/>
        <v>7.2459359079437138E-2</v>
      </c>
      <c r="AM393">
        <f t="shared" si="34"/>
        <v>7.0597639397982099E-3</v>
      </c>
      <c r="AN393">
        <f t="shared" si="34"/>
        <v>1.7466784797798333E-3</v>
      </c>
      <c r="AO393">
        <f t="shared" si="34"/>
        <v>-0.12003552452447441</v>
      </c>
      <c r="AP393">
        <f t="shared" si="34"/>
        <v>0.25438778028612619</v>
      </c>
      <c r="AQ393">
        <f t="shared" si="34"/>
        <v>0.21988780706721778</v>
      </c>
      <c r="AR393">
        <f t="shared" si="34"/>
        <v>0.32432436962934358</v>
      </c>
      <c r="AS393">
        <f t="shared" si="34"/>
        <v>0.20396367974713661</v>
      </c>
      <c r="AT393">
        <f t="shared" si="34"/>
        <v>0.28567337799085363</v>
      </c>
      <c r="AU393">
        <f t="shared" si="34"/>
        <v>5.2611515815977138E-2</v>
      </c>
      <c r="AV393">
        <f t="shared" si="34"/>
        <v>7.9763189614372593E-2</v>
      </c>
      <c r="AW393">
        <f t="shared" si="34"/>
        <v>0.39452677830755473</v>
      </c>
      <c r="AX393">
        <f t="shared" si="34"/>
        <v>0.17540359839942921</v>
      </c>
      <c r="AY393">
        <f t="shared" si="34"/>
        <v>6.903103247141446E-3</v>
      </c>
      <c r="AZ393">
        <f t="shared" si="34"/>
        <v>-1.5944466518407138E-2</v>
      </c>
      <c r="BA393">
        <f t="shared" si="34"/>
        <v>-7.8618277039546158E-2</v>
      </c>
      <c r="BB393">
        <f t="shared" si="34"/>
        <v>0.38888350896215601</v>
      </c>
      <c r="BC393">
        <f t="shared" si="34"/>
        <v>0.2618962163585638</v>
      </c>
      <c r="BD393">
        <f t="shared" si="34"/>
        <v>0.60171212053702572</v>
      </c>
    </row>
    <row r="394" spans="1:56" x14ac:dyDescent="0.2">
      <c r="A394" s="2">
        <v>24</v>
      </c>
      <c r="B394">
        <f>CORREL($Y2:$Y365,B2:B365)</f>
        <v>0.51220491676619573</v>
      </c>
      <c r="C394">
        <f t="shared" ref="C394:BD394" si="35">CORREL($Y2:$Y365,C2:C365)</f>
        <v>0.41619563548904082</v>
      </c>
      <c r="D394">
        <f t="shared" si="35"/>
        <v>0.44312374247423209</v>
      </c>
      <c r="E394">
        <f t="shared" si="35"/>
        <v>0.21769152937745381</v>
      </c>
      <c r="F394">
        <f t="shared" si="35"/>
        <v>-9.778859749920531E-3</v>
      </c>
      <c r="G394">
        <f t="shared" si="35"/>
        <v>6.1524616502897818E-3</v>
      </c>
      <c r="H394">
        <f t="shared" si="35"/>
        <v>4.3927790737097502E-2</v>
      </c>
      <c r="I394">
        <f t="shared" si="35"/>
        <v>-5.0896131834389556E-3</v>
      </c>
      <c r="J394">
        <f t="shared" si="35"/>
        <v>0.29022551454504836</v>
      </c>
      <c r="K394">
        <f t="shared" si="35"/>
        <v>0.53897022495342128</v>
      </c>
      <c r="L394">
        <f t="shared" si="35"/>
        <v>0.16932322987251905</v>
      </c>
      <c r="M394">
        <f t="shared" si="35"/>
        <v>6.5520184061529331E-3</v>
      </c>
      <c r="N394">
        <f t="shared" si="35"/>
        <v>1.5503806743908551E-4</v>
      </c>
      <c r="O394">
        <f t="shared" si="35"/>
        <v>-0.15016759871141502</v>
      </c>
      <c r="P394">
        <f t="shared" si="35"/>
        <v>0.34134585952484331</v>
      </c>
      <c r="Q394">
        <f t="shared" si="35"/>
        <v>0.14655384309480105</v>
      </c>
      <c r="R394">
        <f t="shared" si="35"/>
        <v>0.2105055834027918</v>
      </c>
      <c r="S394">
        <f t="shared" si="35"/>
        <v>0.68799791172866853</v>
      </c>
      <c r="T394">
        <f t="shared" si="35"/>
        <v>0.39347512380519484</v>
      </c>
      <c r="U394">
        <f t="shared" si="35"/>
        <v>0.31295695104294913</v>
      </c>
      <c r="V394">
        <f t="shared" si="35"/>
        <v>0.52800742434601255</v>
      </c>
      <c r="W394">
        <f t="shared" si="35"/>
        <v>0.35324817890513477</v>
      </c>
      <c r="X394">
        <f t="shared" si="35"/>
        <v>0.17108259958910535</v>
      </c>
      <c r="Y394">
        <f t="shared" si="35"/>
        <v>1.0000000000000002</v>
      </c>
      <c r="Z394">
        <f t="shared" si="35"/>
        <v>0.26354046439513584</v>
      </c>
      <c r="AA394">
        <f t="shared" si="35"/>
        <v>0.52309800272722562</v>
      </c>
      <c r="AB394">
        <f t="shared" si="35"/>
        <v>-7.1202778711524764E-2</v>
      </c>
      <c r="AC394">
        <f t="shared" si="35"/>
        <v>0.32019659388454014</v>
      </c>
      <c r="AD394">
        <f t="shared" si="35"/>
        <v>1.092984437155326E-2</v>
      </c>
      <c r="AE394">
        <f t="shared" si="35"/>
        <v>0.15529969356052825</v>
      </c>
      <c r="AF394">
        <f t="shared" si="35"/>
        <v>0.35031212367573328</v>
      </c>
      <c r="AG394">
        <f t="shared" si="35"/>
        <v>0.16492026291477033</v>
      </c>
      <c r="AH394">
        <f t="shared" si="35"/>
        <v>0.36700693626686837</v>
      </c>
      <c r="AI394">
        <f t="shared" si="35"/>
        <v>0.32905656527819066</v>
      </c>
      <c r="AJ394">
        <f t="shared" si="35"/>
        <v>0.46225659935586688</v>
      </c>
      <c r="AK394">
        <f t="shared" si="35"/>
        <v>0.20268085481504697</v>
      </c>
      <c r="AL394">
        <f t="shared" si="35"/>
        <v>0.18041070789473387</v>
      </c>
      <c r="AM394">
        <f t="shared" si="35"/>
        <v>0.34087748170012849</v>
      </c>
      <c r="AN394">
        <f t="shared" si="35"/>
        <v>0.33121814937397592</v>
      </c>
      <c r="AO394">
        <f t="shared" si="35"/>
        <v>-9.1114595994102772E-3</v>
      </c>
      <c r="AP394">
        <f t="shared" si="35"/>
        <v>9.7994897268399037E-2</v>
      </c>
      <c r="AQ394">
        <f t="shared" si="35"/>
        <v>7.3542514598899447E-2</v>
      </c>
      <c r="AR394">
        <f t="shared" si="35"/>
        <v>0.16939476600155848</v>
      </c>
      <c r="AS394">
        <f t="shared" si="35"/>
        <v>0.36478156330554024</v>
      </c>
      <c r="AT394">
        <f t="shared" si="35"/>
        <v>0.42045704243085191</v>
      </c>
      <c r="AU394">
        <f t="shared" si="35"/>
        <v>0.11219223713229624</v>
      </c>
      <c r="AV394">
        <f t="shared" si="35"/>
        <v>7.021312068029531E-2</v>
      </c>
      <c r="AW394">
        <f t="shared" si="35"/>
        <v>0.4875221548577281</v>
      </c>
      <c r="AX394">
        <f t="shared" si="35"/>
        <v>2.0404338303170034E-3</v>
      </c>
      <c r="AY394">
        <f t="shared" si="35"/>
        <v>-0.13035033722415584</v>
      </c>
      <c r="AZ394">
        <f t="shared" si="35"/>
        <v>2.9656118325322361E-2</v>
      </c>
      <c r="BA394">
        <f t="shared" si="35"/>
        <v>7.1337815132835644E-2</v>
      </c>
      <c r="BB394">
        <f t="shared" si="35"/>
        <v>0.41381777737247427</v>
      </c>
      <c r="BC394">
        <f t="shared" si="35"/>
        <v>0.36166154587652682</v>
      </c>
      <c r="BD394">
        <f t="shared" si="35"/>
        <v>0.75304558113617037</v>
      </c>
    </row>
    <row r="395" spans="1:56" x14ac:dyDescent="0.2">
      <c r="A395" s="2">
        <v>25</v>
      </c>
      <c r="B395">
        <f>CORREL($Z2:$Z365,B2:B365)</f>
        <v>0.33489595337793376</v>
      </c>
      <c r="C395">
        <f t="shared" ref="C395:BD395" si="36">CORREL($Z2:$Z365,C2:C365)</f>
        <v>0.29199073062286451</v>
      </c>
      <c r="D395">
        <f t="shared" si="36"/>
        <v>0.37077805029604477</v>
      </c>
      <c r="E395">
        <f t="shared" si="36"/>
        <v>0.20059096969649728</v>
      </c>
      <c r="F395">
        <f t="shared" si="36"/>
        <v>1.1957979131794763E-2</v>
      </c>
      <c r="G395">
        <f t="shared" si="36"/>
        <v>9.455015012943431E-2</v>
      </c>
      <c r="H395">
        <f t="shared" si="36"/>
        <v>3.0997088587522696E-2</v>
      </c>
      <c r="I395">
        <f t="shared" si="36"/>
        <v>8.0448372083759392E-2</v>
      </c>
      <c r="J395">
        <f t="shared" si="36"/>
        <v>0.30696139482371881</v>
      </c>
      <c r="K395">
        <f t="shared" si="36"/>
        <v>0.31091267179292953</v>
      </c>
      <c r="L395">
        <f t="shared" si="36"/>
        <v>0.26402591384275181</v>
      </c>
      <c r="M395">
        <f t="shared" si="36"/>
        <v>0.10337231367838776</v>
      </c>
      <c r="N395">
        <f t="shared" si="36"/>
        <v>0.20607436408368493</v>
      </c>
      <c r="O395">
        <f t="shared" si="36"/>
        <v>5.2721565828066544E-2</v>
      </c>
      <c r="P395">
        <f t="shared" si="36"/>
        <v>0.27676192841230562</v>
      </c>
      <c r="Q395">
        <f t="shared" si="36"/>
        <v>0.24711836945280394</v>
      </c>
      <c r="R395">
        <f t="shared" si="36"/>
        <v>0.25817506636541177</v>
      </c>
      <c r="S395">
        <f t="shared" si="36"/>
        <v>0.35569839371928996</v>
      </c>
      <c r="T395">
        <f t="shared" si="36"/>
        <v>0.253216997957803</v>
      </c>
      <c r="U395">
        <f t="shared" si="36"/>
        <v>8.0567888703539953E-2</v>
      </c>
      <c r="V395">
        <f t="shared" si="36"/>
        <v>0.34055839418509559</v>
      </c>
      <c r="W395">
        <f t="shared" si="36"/>
        <v>0.12281961028148491</v>
      </c>
      <c r="X395">
        <f t="shared" si="36"/>
        <v>0.19721524854521214</v>
      </c>
      <c r="Y395">
        <f t="shared" si="36"/>
        <v>0.26354046439513584</v>
      </c>
      <c r="Z395">
        <f t="shared" si="36"/>
        <v>0.99999999999999989</v>
      </c>
      <c r="AA395">
        <f t="shared" si="36"/>
        <v>0.31394097879199118</v>
      </c>
      <c r="AB395">
        <f t="shared" si="36"/>
        <v>-8.967182048146348E-2</v>
      </c>
      <c r="AC395">
        <f t="shared" si="36"/>
        <v>0.27818903009562196</v>
      </c>
      <c r="AD395">
        <f t="shared" si="36"/>
        <v>1.7892783739507798E-2</v>
      </c>
      <c r="AE395">
        <f t="shared" si="36"/>
        <v>0.1830216213326841</v>
      </c>
      <c r="AF395">
        <f t="shared" si="36"/>
        <v>0.19696221964236929</v>
      </c>
      <c r="AG395">
        <f t="shared" si="36"/>
        <v>0.22317178138920502</v>
      </c>
      <c r="AH395">
        <f t="shared" si="36"/>
        <v>7.2253408498054839E-2</v>
      </c>
      <c r="AI395">
        <f t="shared" si="36"/>
        <v>0.24359063849218052</v>
      </c>
      <c r="AJ395">
        <f t="shared" si="36"/>
        <v>0.29234301540944241</v>
      </c>
      <c r="AK395">
        <f t="shared" si="36"/>
        <v>0.21124212211234827</v>
      </c>
      <c r="AL395">
        <f t="shared" si="36"/>
        <v>0.23312060361373818</v>
      </c>
      <c r="AM395">
        <f t="shared" si="36"/>
        <v>0.17094314385210438</v>
      </c>
      <c r="AN395">
        <f t="shared" si="36"/>
        <v>0.16307692556251521</v>
      </c>
      <c r="AO395">
        <f t="shared" si="36"/>
        <v>-6.2812025314041009E-2</v>
      </c>
      <c r="AP395">
        <f t="shared" si="36"/>
        <v>0.19662259900276746</v>
      </c>
      <c r="AQ395">
        <f t="shared" si="36"/>
        <v>8.641362743977557E-2</v>
      </c>
      <c r="AR395">
        <f t="shared" si="36"/>
        <v>0.30662831575551558</v>
      </c>
      <c r="AS395">
        <f t="shared" si="36"/>
        <v>0.31958744106752845</v>
      </c>
      <c r="AT395">
        <f t="shared" si="36"/>
        <v>0.36705876434205903</v>
      </c>
      <c r="AU395">
        <f t="shared" si="36"/>
        <v>8.1077306030903962E-2</v>
      </c>
      <c r="AV395">
        <f t="shared" si="36"/>
        <v>1.5908750839236502E-2</v>
      </c>
      <c r="AW395">
        <f t="shared" si="36"/>
        <v>0.39158904850961812</v>
      </c>
      <c r="AX395">
        <f t="shared" si="36"/>
        <v>8.8584353459978393E-2</v>
      </c>
      <c r="AY395">
        <f t="shared" si="36"/>
        <v>1.0419507793342369E-2</v>
      </c>
      <c r="AZ395">
        <f t="shared" si="36"/>
        <v>8.7883541738340176E-2</v>
      </c>
      <c r="BA395">
        <f t="shared" si="36"/>
        <v>9.1243607497484683E-2</v>
      </c>
      <c r="BB395">
        <f t="shared" si="36"/>
        <v>0.43451995193072668</v>
      </c>
      <c r="BC395">
        <f t="shared" si="36"/>
        <v>0.28506388532396726</v>
      </c>
      <c r="BD395">
        <f t="shared" si="36"/>
        <v>0.77208910306531453</v>
      </c>
    </row>
    <row r="396" spans="1:56" x14ac:dyDescent="0.2">
      <c r="A396" s="2">
        <v>26</v>
      </c>
      <c r="B396">
        <f>CORREL($AA2:$AA365,B2:B365)</f>
        <v>0.58188616015845362</v>
      </c>
      <c r="C396">
        <f t="shared" ref="C396:BD396" si="37">CORREL($AA2:$AA365,C2:C365)</f>
        <v>0.52338791421583197</v>
      </c>
      <c r="D396">
        <f t="shared" si="37"/>
        <v>0.56933221906607756</v>
      </c>
      <c r="E396">
        <f t="shared" si="37"/>
        <v>0.18915846683961854</v>
      </c>
      <c r="F396">
        <f t="shared" si="37"/>
        <v>1.4445326367522757E-2</v>
      </c>
      <c r="G396">
        <f t="shared" si="37"/>
        <v>0.10289089938089378</v>
      </c>
      <c r="H396">
        <f t="shared" si="37"/>
        <v>3.2444150046784977E-2</v>
      </c>
      <c r="I396">
        <f t="shared" si="37"/>
        <v>0.13460822844568571</v>
      </c>
      <c r="J396">
        <f t="shared" si="37"/>
        <v>0.42330608530797958</v>
      </c>
      <c r="K396">
        <f t="shared" si="37"/>
        <v>0.61693404314679656</v>
      </c>
      <c r="L396">
        <f t="shared" si="37"/>
        <v>0.2126969288694455</v>
      </c>
      <c r="M396">
        <f t="shared" si="37"/>
        <v>3.2699436049513586E-2</v>
      </c>
      <c r="N396">
        <f t="shared" si="37"/>
        <v>3.2412120197653597E-2</v>
      </c>
      <c r="O396">
        <f t="shared" si="37"/>
        <v>-1.6729817800492802E-2</v>
      </c>
      <c r="P396">
        <f t="shared" si="37"/>
        <v>0.39074395880179419</v>
      </c>
      <c r="Q396">
        <f t="shared" si="37"/>
        <v>0.26909074565124175</v>
      </c>
      <c r="R396">
        <f t="shared" si="37"/>
        <v>0.32893236452475016</v>
      </c>
      <c r="S396">
        <f t="shared" si="37"/>
        <v>0.69010283652775462</v>
      </c>
      <c r="T396">
        <f t="shared" si="37"/>
        <v>0.56113683137714265</v>
      </c>
      <c r="U396">
        <f t="shared" si="37"/>
        <v>0.42549457672306651</v>
      </c>
      <c r="V396">
        <f t="shared" si="37"/>
        <v>0.98603790518390844</v>
      </c>
      <c r="W396">
        <f t="shared" si="37"/>
        <v>0.53206255463515095</v>
      </c>
      <c r="X396">
        <f t="shared" si="37"/>
        <v>0.22294627874209527</v>
      </c>
      <c r="Y396">
        <f t="shared" si="37"/>
        <v>0.52309800272722562</v>
      </c>
      <c r="Z396">
        <f t="shared" si="37"/>
        <v>0.31394097879199118</v>
      </c>
      <c r="AA396">
        <f t="shared" si="37"/>
        <v>1</v>
      </c>
      <c r="AB396">
        <f t="shared" si="37"/>
        <v>-0.12480978251664608</v>
      </c>
      <c r="AC396">
        <f t="shared" si="37"/>
        <v>0.37751433659855316</v>
      </c>
      <c r="AD396">
        <f t="shared" si="37"/>
        <v>0.13100960996087452</v>
      </c>
      <c r="AE396">
        <f t="shared" si="37"/>
        <v>0.27939856487309611</v>
      </c>
      <c r="AF396">
        <f t="shared" si="37"/>
        <v>0.42275970837412991</v>
      </c>
      <c r="AG396">
        <f t="shared" si="37"/>
        <v>0.28545551825945792</v>
      </c>
      <c r="AH396">
        <f t="shared" si="37"/>
        <v>0.42542271417170602</v>
      </c>
      <c r="AI396">
        <f t="shared" si="37"/>
        <v>0.40745458573748489</v>
      </c>
      <c r="AJ396">
        <f t="shared" si="37"/>
        <v>0.61113269701116146</v>
      </c>
      <c r="AK396">
        <f t="shared" si="37"/>
        <v>0.53568176737055995</v>
      </c>
      <c r="AL396">
        <f t="shared" si="37"/>
        <v>0.186917901512655</v>
      </c>
      <c r="AM396">
        <f t="shared" si="37"/>
        <v>0.48706756602073753</v>
      </c>
      <c r="AN396">
        <f t="shared" si="37"/>
        <v>0.50717066237114306</v>
      </c>
      <c r="AO396">
        <f t="shared" si="37"/>
        <v>1.9278930585564315E-2</v>
      </c>
      <c r="AP396">
        <f t="shared" si="37"/>
        <v>4.3289222710163645E-2</v>
      </c>
      <c r="AQ396">
        <f t="shared" si="37"/>
        <v>0.26605795359856499</v>
      </c>
      <c r="AR396">
        <f t="shared" si="37"/>
        <v>0.37438343215468556</v>
      </c>
      <c r="AS396">
        <f t="shared" si="37"/>
        <v>0.54911589078905565</v>
      </c>
      <c r="AT396">
        <f t="shared" si="37"/>
        <v>0.53358288942915488</v>
      </c>
      <c r="AU396">
        <f t="shared" si="37"/>
        <v>5.3888204710535105E-2</v>
      </c>
      <c r="AV396">
        <f t="shared" si="37"/>
        <v>5.9863535795830113E-2</v>
      </c>
      <c r="AW396">
        <f t="shared" si="37"/>
        <v>0.58643409205321217</v>
      </c>
      <c r="AX396">
        <f t="shared" si="37"/>
        <v>0.14139252568561614</v>
      </c>
      <c r="AY396">
        <f t="shared" si="37"/>
        <v>-8.7542556177410719E-2</v>
      </c>
      <c r="AZ396">
        <f t="shared" si="37"/>
        <v>-7.8522198569002839E-3</v>
      </c>
      <c r="BA396">
        <f t="shared" si="37"/>
        <v>4.8609894135300341E-2</v>
      </c>
      <c r="BB396">
        <f t="shared" si="37"/>
        <v>0.56488371358448453</v>
      </c>
      <c r="BC396">
        <f t="shared" si="37"/>
        <v>0.55071367628909673</v>
      </c>
      <c r="BD396">
        <f t="shared" si="37"/>
        <v>0.88273020108025846</v>
      </c>
    </row>
    <row r="397" spans="1:56" x14ac:dyDescent="0.2">
      <c r="A397" s="2">
        <v>27</v>
      </c>
      <c r="B397">
        <f>CORREL($AB2:$AB365,B2:B365)</f>
        <v>-0.10817690361806649</v>
      </c>
      <c r="C397">
        <f t="shared" ref="C397:BD397" si="38">CORREL($AB2:$AB365,C2:C365)</f>
        <v>-0.10609020073457408</v>
      </c>
      <c r="D397">
        <f t="shared" si="38"/>
        <v>-0.17601184346970816</v>
      </c>
      <c r="E397">
        <f t="shared" si="38"/>
        <v>-0.12477553535311899</v>
      </c>
      <c r="F397">
        <f t="shared" si="38"/>
        <v>0.10146700276107098</v>
      </c>
      <c r="G397">
        <f t="shared" si="38"/>
        <v>-6.5875787943179996E-3</v>
      </c>
      <c r="H397">
        <f t="shared" si="38"/>
        <v>-8.6128718652283665E-2</v>
      </c>
      <c r="I397">
        <f t="shared" si="38"/>
        <v>4.5105163116342377E-2</v>
      </c>
      <c r="J397">
        <f t="shared" si="38"/>
        <v>-0.16058108573432814</v>
      </c>
      <c r="K397">
        <f t="shared" si="38"/>
        <v>-0.14076722757011781</v>
      </c>
      <c r="L397">
        <f t="shared" si="38"/>
        <v>-0.16261554508838794</v>
      </c>
      <c r="M397">
        <f t="shared" si="38"/>
        <v>7.1081898942555136E-2</v>
      </c>
      <c r="N397">
        <f t="shared" si="38"/>
        <v>9.6894277180625432E-2</v>
      </c>
      <c r="O397">
        <f t="shared" si="38"/>
        <v>3.8241878645057299E-2</v>
      </c>
      <c r="P397">
        <f t="shared" si="38"/>
        <v>-0.12436374079962277</v>
      </c>
      <c r="Q397">
        <f t="shared" si="38"/>
        <v>-0.22486930681142719</v>
      </c>
      <c r="R397">
        <f t="shared" si="38"/>
        <v>-0.19325792732668631</v>
      </c>
      <c r="S397">
        <f t="shared" si="38"/>
        <v>-5.9236804920486573E-2</v>
      </c>
      <c r="T397">
        <f t="shared" si="38"/>
        <v>-0.23160656348089501</v>
      </c>
      <c r="U397">
        <f t="shared" si="38"/>
        <v>5.0592571943876084E-2</v>
      </c>
      <c r="V397">
        <f t="shared" si="38"/>
        <v>-0.15555018577394678</v>
      </c>
      <c r="W397">
        <f t="shared" si="38"/>
        <v>-0.23048041379568635</v>
      </c>
      <c r="X397">
        <f t="shared" si="38"/>
        <v>-0.25335917208874048</v>
      </c>
      <c r="Y397">
        <f t="shared" si="38"/>
        <v>-7.1202778711524764E-2</v>
      </c>
      <c r="Z397">
        <f t="shared" si="38"/>
        <v>-8.967182048146348E-2</v>
      </c>
      <c r="AA397">
        <f t="shared" si="38"/>
        <v>-0.12480978251664608</v>
      </c>
      <c r="AB397">
        <f t="shared" si="38"/>
        <v>1</v>
      </c>
      <c r="AC397">
        <f t="shared" si="38"/>
        <v>-0.11200596057184253</v>
      </c>
      <c r="AD397">
        <f t="shared" si="38"/>
        <v>-0.31266414415716426</v>
      </c>
      <c r="AE397">
        <f t="shared" si="38"/>
        <v>-0.10109313464189473</v>
      </c>
      <c r="AF397">
        <f t="shared" si="38"/>
        <v>-0.13998382834229475</v>
      </c>
      <c r="AG397">
        <f t="shared" si="38"/>
        <v>-4.0063771930945583E-2</v>
      </c>
      <c r="AH397">
        <f t="shared" si="38"/>
        <v>-0.12552947770479486</v>
      </c>
      <c r="AI397">
        <f t="shared" si="38"/>
        <v>-6.4239620326864366E-2</v>
      </c>
      <c r="AJ397">
        <f t="shared" si="38"/>
        <v>-0.34329319067241221</v>
      </c>
      <c r="AK397">
        <f t="shared" si="38"/>
        <v>-0.10958905298811747</v>
      </c>
      <c r="AL397">
        <f t="shared" si="38"/>
        <v>-0.3023134147654617</v>
      </c>
      <c r="AM397">
        <f t="shared" si="38"/>
        <v>-9.6770616754583025E-2</v>
      </c>
      <c r="AN397">
        <f t="shared" si="38"/>
        <v>-0.10023042077603381</v>
      </c>
      <c r="AO397">
        <f t="shared" si="38"/>
        <v>5.6191595905101109E-2</v>
      </c>
      <c r="AP397">
        <f t="shared" si="38"/>
        <v>0.24377167944160957</v>
      </c>
      <c r="AQ397">
        <f t="shared" si="38"/>
        <v>-0.15163372293487293</v>
      </c>
      <c r="AR397">
        <f t="shared" si="38"/>
        <v>-0.18248968062425419</v>
      </c>
      <c r="AS397">
        <f t="shared" si="38"/>
        <v>-0.11728984400686875</v>
      </c>
      <c r="AT397">
        <f t="shared" si="38"/>
        <v>-0.12819238471574687</v>
      </c>
      <c r="AU397">
        <f t="shared" si="38"/>
        <v>-0.21094910028065175</v>
      </c>
      <c r="AV397">
        <f t="shared" si="38"/>
        <v>2.0370427379953177E-2</v>
      </c>
      <c r="AW397">
        <f t="shared" si="38"/>
        <v>-0.1171694722655041</v>
      </c>
      <c r="AX397">
        <f t="shared" si="38"/>
        <v>5.9170342533292834E-2</v>
      </c>
      <c r="AY397">
        <f t="shared" si="38"/>
        <v>0.12436254846221104</v>
      </c>
      <c r="AZ397">
        <f t="shared" si="38"/>
        <v>-1.6958894598501497E-2</v>
      </c>
      <c r="BA397">
        <f t="shared" si="38"/>
        <v>-9.9256307345684372E-2</v>
      </c>
      <c r="BB397">
        <f t="shared" si="38"/>
        <v>-0.17870820100669538</v>
      </c>
      <c r="BC397">
        <f t="shared" si="38"/>
        <v>-0.13504250819918798</v>
      </c>
      <c r="BD397">
        <f t="shared" si="38"/>
        <v>-8.80200394734027E-2</v>
      </c>
    </row>
    <row r="398" spans="1:56" x14ac:dyDescent="0.2">
      <c r="A398" s="2">
        <v>28</v>
      </c>
      <c r="B398">
        <f>CORREL($AC2:$AC365,B2:B365)</f>
        <v>0.29244722315609212</v>
      </c>
      <c r="C398">
        <f t="shared" ref="C398:BD398" si="39">CORREL($AC2:$AC365,C2:C365)</f>
        <v>0.31463098227145414</v>
      </c>
      <c r="D398">
        <f t="shared" si="39"/>
        <v>0.39440368890385236</v>
      </c>
      <c r="E398">
        <f t="shared" si="39"/>
        <v>0.11619553694646442</v>
      </c>
      <c r="F398">
        <f t="shared" si="39"/>
        <v>-3.143004388443791E-2</v>
      </c>
      <c r="G398">
        <f t="shared" si="39"/>
        <v>0.22631344192480082</v>
      </c>
      <c r="H398">
        <f t="shared" si="39"/>
        <v>2.9427762094411322E-2</v>
      </c>
      <c r="I398">
        <f t="shared" si="39"/>
        <v>0.16137197529622879</v>
      </c>
      <c r="J398">
        <f t="shared" si="39"/>
        <v>0.34414974430885503</v>
      </c>
      <c r="K398">
        <f t="shared" si="39"/>
        <v>0.46877665903188009</v>
      </c>
      <c r="L398">
        <f t="shared" si="39"/>
        <v>0.38384840092550981</v>
      </c>
      <c r="M398">
        <f t="shared" si="39"/>
        <v>9.3606336584938651E-2</v>
      </c>
      <c r="N398">
        <f t="shared" si="39"/>
        <v>7.5069000348144385E-2</v>
      </c>
      <c r="O398">
        <f t="shared" si="39"/>
        <v>8.9086184711890698E-2</v>
      </c>
      <c r="P398">
        <f t="shared" si="39"/>
        <v>0.42309217346665934</v>
      </c>
      <c r="Q398">
        <f t="shared" si="39"/>
        <v>0.25968678031629161</v>
      </c>
      <c r="R398">
        <f t="shared" si="39"/>
        <v>0.35096463614276741</v>
      </c>
      <c r="S398">
        <f t="shared" si="39"/>
        <v>0.61361817827775167</v>
      </c>
      <c r="T398">
        <f t="shared" si="39"/>
        <v>0.34886986322993269</v>
      </c>
      <c r="U398">
        <f t="shared" si="39"/>
        <v>5.9868337522336806E-2</v>
      </c>
      <c r="V398">
        <f t="shared" si="39"/>
        <v>0.38603211104227059</v>
      </c>
      <c r="W398">
        <f t="shared" si="39"/>
        <v>0.27950940508595262</v>
      </c>
      <c r="X398">
        <f t="shared" si="39"/>
        <v>0.18143963553951395</v>
      </c>
      <c r="Y398">
        <f t="shared" si="39"/>
        <v>0.32019659388454014</v>
      </c>
      <c r="Z398">
        <f t="shared" si="39"/>
        <v>0.27818903009562196</v>
      </c>
      <c r="AA398">
        <f t="shared" si="39"/>
        <v>0.37751433659855316</v>
      </c>
      <c r="AB398">
        <f t="shared" si="39"/>
        <v>-0.11200596057184253</v>
      </c>
      <c r="AC398">
        <f t="shared" si="39"/>
        <v>1</v>
      </c>
      <c r="AD398">
        <f t="shared" si="39"/>
        <v>0.10896602151478603</v>
      </c>
      <c r="AE398">
        <f t="shared" si="39"/>
        <v>0.16351071748364129</v>
      </c>
      <c r="AF398">
        <f t="shared" si="39"/>
        <v>0.23002622077346224</v>
      </c>
      <c r="AG398">
        <f t="shared" si="39"/>
        <v>0.16185285892473716</v>
      </c>
      <c r="AH398">
        <f t="shared" si="39"/>
        <v>0.14085350380639355</v>
      </c>
      <c r="AI398">
        <f t="shared" si="39"/>
        <v>0.42463366928071855</v>
      </c>
      <c r="AJ398">
        <f t="shared" si="39"/>
        <v>0.54309305940247909</v>
      </c>
      <c r="AK398">
        <f t="shared" si="39"/>
        <v>0.16730457654383168</v>
      </c>
      <c r="AL398">
        <f t="shared" si="39"/>
        <v>0.2073879151760315</v>
      </c>
      <c r="AM398">
        <f t="shared" si="39"/>
        <v>0.20711589267312258</v>
      </c>
      <c r="AN398">
        <f t="shared" si="39"/>
        <v>0.19792849676483359</v>
      </c>
      <c r="AO398">
        <f t="shared" si="39"/>
        <v>5.2858950751672643E-2</v>
      </c>
      <c r="AP398">
        <f t="shared" si="39"/>
        <v>0.20323509169831575</v>
      </c>
      <c r="AQ398">
        <f t="shared" si="39"/>
        <v>0.18562406381600383</v>
      </c>
      <c r="AR398">
        <f t="shared" si="39"/>
        <v>0.24732961712779475</v>
      </c>
      <c r="AS398">
        <f t="shared" si="39"/>
        <v>0.36781210760539951</v>
      </c>
      <c r="AT398">
        <f t="shared" si="39"/>
        <v>0.3897055414482854</v>
      </c>
      <c r="AU398">
        <f t="shared" si="39"/>
        <v>7.594468950738513E-2</v>
      </c>
      <c r="AV398">
        <f t="shared" si="39"/>
        <v>5.7283498785304809E-2</v>
      </c>
      <c r="AW398">
        <f t="shared" si="39"/>
        <v>0.34232615430955693</v>
      </c>
      <c r="AX398">
        <f t="shared" si="39"/>
        <v>0.20964096584060424</v>
      </c>
      <c r="AY398">
        <f t="shared" si="39"/>
        <v>-0.10104622632293374</v>
      </c>
      <c r="AZ398">
        <f t="shared" si="39"/>
        <v>2.1317063467841341E-3</v>
      </c>
      <c r="BA398">
        <f t="shared" si="39"/>
        <v>-1.9148019274424548E-2</v>
      </c>
      <c r="BB398">
        <f t="shared" si="39"/>
        <v>0.39386080772239268</v>
      </c>
      <c r="BC398">
        <f t="shared" si="39"/>
        <v>0.30601490231105277</v>
      </c>
      <c r="BD398">
        <f t="shared" si="39"/>
        <v>0.81780945396252713</v>
      </c>
    </row>
    <row r="399" spans="1:56" x14ac:dyDescent="0.2">
      <c r="A399" s="2">
        <v>29</v>
      </c>
      <c r="B399">
        <f>CORREL($AD2:$AD365,B2:B365)</f>
        <v>1.878465355562698E-2</v>
      </c>
      <c r="C399">
        <f t="shared" ref="C399:BD399" si="40">CORREL($AD2:$AD365,C2:C365)</f>
        <v>0.1476392049491955</v>
      </c>
      <c r="D399">
        <f t="shared" si="40"/>
        <v>-7.5899397335098831E-2</v>
      </c>
      <c r="E399">
        <f t="shared" si="40"/>
        <v>-7.3762435818199509E-2</v>
      </c>
      <c r="F399">
        <f t="shared" si="40"/>
        <v>5.0940508025126993E-2</v>
      </c>
      <c r="G399">
        <f t="shared" si="40"/>
        <v>0.21977186916373473</v>
      </c>
      <c r="H399">
        <f t="shared" si="40"/>
        <v>7.4303290540426004E-2</v>
      </c>
      <c r="I399">
        <f t="shared" si="40"/>
        <v>0.30500234082544192</v>
      </c>
      <c r="J399">
        <f t="shared" si="40"/>
        <v>0.19011082737818449</v>
      </c>
      <c r="K399">
        <f t="shared" si="40"/>
        <v>-6.9932795020912972E-2</v>
      </c>
      <c r="L399">
        <f t="shared" si="40"/>
        <v>0.1216371165719594</v>
      </c>
      <c r="M399">
        <f t="shared" si="40"/>
        <v>0.107447420856649</v>
      </c>
      <c r="N399">
        <f t="shared" si="40"/>
        <v>4.8957035046320665E-2</v>
      </c>
      <c r="O399">
        <f t="shared" si="40"/>
        <v>0.11966732262935625</v>
      </c>
      <c r="P399">
        <f t="shared" si="40"/>
        <v>0.15635196602356749</v>
      </c>
      <c r="Q399">
        <f t="shared" si="40"/>
        <v>0.115381704513737</v>
      </c>
      <c r="R399">
        <f t="shared" si="40"/>
        <v>5.9214009733552786E-2</v>
      </c>
      <c r="S399">
        <f t="shared" si="40"/>
        <v>4.7222005898345361E-2</v>
      </c>
      <c r="T399">
        <f t="shared" si="40"/>
        <v>8.9712562869336016E-2</v>
      </c>
      <c r="U399">
        <f t="shared" si="40"/>
        <v>-4.2357026266986814E-2</v>
      </c>
      <c r="V399">
        <f t="shared" si="40"/>
        <v>0.13372830491399143</v>
      </c>
      <c r="W399">
        <f t="shared" si="40"/>
        <v>0.11271760505602779</v>
      </c>
      <c r="X399">
        <f t="shared" si="40"/>
        <v>2.8535130260980167E-2</v>
      </c>
      <c r="Y399">
        <f t="shared" si="40"/>
        <v>1.092984437155326E-2</v>
      </c>
      <c r="Z399">
        <f t="shared" si="40"/>
        <v>1.7892783739507798E-2</v>
      </c>
      <c r="AA399">
        <f t="shared" si="40"/>
        <v>0.13100960996087452</v>
      </c>
      <c r="AB399">
        <f t="shared" si="40"/>
        <v>-0.31266414415716426</v>
      </c>
      <c r="AC399">
        <f t="shared" si="40"/>
        <v>0.10896602151478603</v>
      </c>
      <c r="AD399">
        <f t="shared" si="40"/>
        <v>1</v>
      </c>
      <c r="AE399">
        <f t="shared" si="40"/>
        <v>6.4610992178442073E-2</v>
      </c>
      <c r="AF399">
        <f t="shared" si="40"/>
        <v>-8.0593128577496662E-2</v>
      </c>
      <c r="AG399">
        <f t="shared" si="40"/>
        <v>8.3674164844820986E-2</v>
      </c>
      <c r="AH399">
        <f t="shared" si="40"/>
        <v>-1.36049414507793E-2</v>
      </c>
      <c r="AI399">
        <f t="shared" si="40"/>
        <v>5.3934617627291077E-2</v>
      </c>
      <c r="AJ399">
        <f t="shared" si="40"/>
        <v>-9.543217567327604E-2</v>
      </c>
      <c r="AK399">
        <f t="shared" si="40"/>
        <v>0.14278727540177019</v>
      </c>
      <c r="AL399">
        <f t="shared" si="40"/>
        <v>4.5204691339903146E-2</v>
      </c>
      <c r="AM399">
        <f t="shared" si="40"/>
        <v>-8.3728743870926448E-4</v>
      </c>
      <c r="AN399">
        <f t="shared" si="40"/>
        <v>3.0258313783783656E-3</v>
      </c>
      <c r="AO399">
        <f t="shared" si="40"/>
        <v>0.10191674099697097</v>
      </c>
      <c r="AP399">
        <f t="shared" si="40"/>
        <v>3.0190750004449353E-2</v>
      </c>
      <c r="AQ399">
        <f t="shared" si="40"/>
        <v>0.1294685817718762</v>
      </c>
      <c r="AR399">
        <f t="shared" si="40"/>
        <v>-1.4066796184279933E-2</v>
      </c>
      <c r="AS399">
        <f t="shared" si="40"/>
        <v>0.1573008163097625</v>
      </c>
      <c r="AT399">
        <f t="shared" si="40"/>
        <v>0.16798359849890887</v>
      </c>
      <c r="AU399">
        <f t="shared" si="40"/>
        <v>-1.5039102637796882E-2</v>
      </c>
      <c r="AV399">
        <f t="shared" si="40"/>
        <v>1.1887444415047478E-2</v>
      </c>
      <c r="AW399">
        <f t="shared" si="40"/>
        <v>0.13733587208986078</v>
      </c>
      <c r="AX399">
        <f t="shared" si="40"/>
        <v>0.27542995881496163</v>
      </c>
      <c r="AY399">
        <f t="shared" si="40"/>
        <v>7.1076504975098584E-2</v>
      </c>
      <c r="AZ399">
        <f t="shared" si="40"/>
        <v>5.746638945396499E-2</v>
      </c>
      <c r="BA399">
        <f t="shared" si="40"/>
        <v>-8.7795746478521439E-2</v>
      </c>
      <c r="BB399">
        <f t="shared" si="40"/>
        <v>-1.9501106996372055E-2</v>
      </c>
      <c r="BC399">
        <f t="shared" si="40"/>
        <v>1.8121997458710275E-2</v>
      </c>
      <c r="BD399">
        <f t="shared" si="40"/>
        <v>0.2608277003026172</v>
      </c>
    </row>
    <row r="400" spans="1:56" x14ac:dyDescent="0.2">
      <c r="A400" s="2">
        <v>30</v>
      </c>
      <c r="B400">
        <f>CORREL($AE2:$AE365,B2:B365)</f>
        <v>0.14212446911283666</v>
      </c>
      <c r="C400">
        <f t="shared" ref="C400:BD400" si="41">CORREL($AE2:$AE365,C2:C365)</f>
        <v>0.30102516527132178</v>
      </c>
      <c r="D400">
        <f t="shared" si="41"/>
        <v>0.25267803782071374</v>
      </c>
      <c r="E400">
        <f t="shared" si="41"/>
        <v>1.6770420736170424E-2</v>
      </c>
      <c r="F400">
        <f t="shared" si="41"/>
        <v>0.17334473609832657</v>
      </c>
      <c r="G400">
        <f t="shared" si="41"/>
        <v>0.26161812265580375</v>
      </c>
      <c r="H400">
        <f t="shared" si="41"/>
        <v>-2.8562697324165436E-2</v>
      </c>
      <c r="I400">
        <f t="shared" si="41"/>
        <v>0.3833079501487332</v>
      </c>
      <c r="J400">
        <f t="shared" si="41"/>
        <v>0.35286894706372512</v>
      </c>
      <c r="K400">
        <f t="shared" si="41"/>
        <v>0.31848643513995439</v>
      </c>
      <c r="L400">
        <f t="shared" si="41"/>
        <v>0.18376450086318752</v>
      </c>
      <c r="M400">
        <f t="shared" si="41"/>
        <v>9.3526315223252429E-2</v>
      </c>
      <c r="N400">
        <f t="shared" si="41"/>
        <v>1.957929277097065E-2</v>
      </c>
      <c r="O400">
        <f t="shared" si="41"/>
        <v>8.4138081470340367E-2</v>
      </c>
      <c r="P400">
        <f t="shared" si="41"/>
        <v>0.2341837951953972</v>
      </c>
      <c r="Q400">
        <f t="shared" si="41"/>
        <v>0.32460374775599282</v>
      </c>
      <c r="R400">
        <f t="shared" si="41"/>
        <v>0.22602610906271647</v>
      </c>
      <c r="S400">
        <f t="shared" si="41"/>
        <v>0.17585005706749343</v>
      </c>
      <c r="T400">
        <f t="shared" si="41"/>
        <v>0.20513586022091865</v>
      </c>
      <c r="U400">
        <f t="shared" si="41"/>
        <v>0.19158743456695213</v>
      </c>
      <c r="V400">
        <f t="shared" si="41"/>
        <v>0.27065761338948602</v>
      </c>
      <c r="W400">
        <f t="shared" si="41"/>
        <v>0.17776631167173484</v>
      </c>
      <c r="X400">
        <f t="shared" si="41"/>
        <v>0.19387486238054666</v>
      </c>
      <c r="Y400">
        <f t="shared" si="41"/>
        <v>0.15529969356052825</v>
      </c>
      <c r="Z400">
        <f t="shared" si="41"/>
        <v>0.1830216213326841</v>
      </c>
      <c r="AA400">
        <f t="shared" si="41"/>
        <v>0.27939856487309611</v>
      </c>
      <c r="AB400">
        <f t="shared" si="41"/>
        <v>-0.10109313464189473</v>
      </c>
      <c r="AC400">
        <f t="shared" si="41"/>
        <v>0.16351071748364129</v>
      </c>
      <c r="AD400">
        <f t="shared" si="41"/>
        <v>6.4610992178442073E-2</v>
      </c>
      <c r="AE400">
        <f t="shared" si="41"/>
        <v>0.99999999999999989</v>
      </c>
      <c r="AF400">
        <f t="shared" si="41"/>
        <v>0.20523276776007685</v>
      </c>
      <c r="AG400">
        <f t="shared" si="41"/>
        <v>0.16956028640648593</v>
      </c>
      <c r="AH400">
        <f t="shared" si="41"/>
        <v>0.10885250477744275</v>
      </c>
      <c r="AI400">
        <f t="shared" si="41"/>
        <v>0.14617765021977305</v>
      </c>
      <c r="AJ400">
        <f t="shared" si="41"/>
        <v>0.2013681026098785</v>
      </c>
      <c r="AK400">
        <f t="shared" si="41"/>
        <v>0.12721923879288813</v>
      </c>
      <c r="AL400">
        <f t="shared" si="41"/>
        <v>0.10468844047727593</v>
      </c>
      <c r="AM400">
        <f t="shared" si="41"/>
        <v>0.11304661525220937</v>
      </c>
      <c r="AN400">
        <f t="shared" si="41"/>
        <v>0.11067881421162019</v>
      </c>
      <c r="AO400">
        <f t="shared" si="41"/>
        <v>-3.4586785163493125E-3</v>
      </c>
      <c r="AP400">
        <f t="shared" si="41"/>
        <v>9.445774349583165E-2</v>
      </c>
      <c r="AQ400">
        <f t="shared" si="41"/>
        <v>0.14234720207094725</v>
      </c>
      <c r="AR400">
        <f t="shared" si="41"/>
        <v>0.32894558256096146</v>
      </c>
      <c r="AS400">
        <f t="shared" si="41"/>
        <v>0.27757238846455606</v>
      </c>
      <c r="AT400">
        <f t="shared" si="41"/>
        <v>0.22696656401408141</v>
      </c>
      <c r="AU400">
        <f t="shared" si="41"/>
        <v>1.5919968938780477E-2</v>
      </c>
      <c r="AV400">
        <f t="shared" si="41"/>
        <v>8.0476099375316773E-2</v>
      </c>
      <c r="AW400">
        <f t="shared" si="41"/>
        <v>0.36270979785003199</v>
      </c>
      <c r="AX400">
        <f t="shared" si="41"/>
        <v>0.32476577099901721</v>
      </c>
      <c r="AY400">
        <f t="shared" si="41"/>
        <v>6.2988623027267418E-2</v>
      </c>
      <c r="AZ400">
        <f t="shared" si="41"/>
        <v>-4.6530969885750971E-2</v>
      </c>
      <c r="BA400">
        <f t="shared" si="41"/>
        <v>-2.1762677019310944E-3</v>
      </c>
      <c r="BB400">
        <f t="shared" si="41"/>
        <v>0.44185223818285368</v>
      </c>
      <c r="BC400">
        <f t="shared" si="41"/>
        <v>0.20592760836074431</v>
      </c>
      <c r="BD400">
        <f t="shared" si="41"/>
        <v>0.23718460776184433</v>
      </c>
    </row>
    <row r="401" spans="1:56" x14ac:dyDescent="0.2">
      <c r="A401" s="2">
        <v>31</v>
      </c>
      <c r="B401">
        <f>CORREL($AF2:$AF365,B2:B365)</f>
        <v>0.38559590408203892</v>
      </c>
      <c r="C401">
        <f t="shared" ref="C401:BD401" si="42">CORREL($AF2:$AF365,C2:C365)</f>
        <v>0.30531138558603316</v>
      </c>
      <c r="D401">
        <f t="shared" si="42"/>
        <v>0.52997661559326503</v>
      </c>
      <c r="E401">
        <f t="shared" si="42"/>
        <v>0.21628730620949965</v>
      </c>
      <c r="F401">
        <f t="shared" si="42"/>
        <v>2.9626212299227101E-3</v>
      </c>
      <c r="G401">
        <f t="shared" si="42"/>
        <v>6.9039682503767894E-2</v>
      </c>
      <c r="H401">
        <f t="shared" si="42"/>
        <v>-2.6210569895826007E-2</v>
      </c>
      <c r="I401">
        <f t="shared" si="42"/>
        <v>7.357416199613577E-2</v>
      </c>
      <c r="J401">
        <f t="shared" si="42"/>
        <v>0.25028721295724721</v>
      </c>
      <c r="K401">
        <f t="shared" si="42"/>
        <v>0.4293050182163532</v>
      </c>
      <c r="L401">
        <f t="shared" si="42"/>
        <v>9.0203089705032546E-2</v>
      </c>
      <c r="M401">
        <f t="shared" si="42"/>
        <v>-1.2204938129988329E-2</v>
      </c>
      <c r="N401">
        <f t="shared" si="42"/>
        <v>3.8792472896416443E-2</v>
      </c>
      <c r="O401">
        <f t="shared" si="42"/>
        <v>-4.9833599845387185E-3</v>
      </c>
      <c r="P401">
        <f t="shared" si="42"/>
        <v>0.27439808040978325</v>
      </c>
      <c r="Q401">
        <f t="shared" si="42"/>
        <v>0.1479480477184423</v>
      </c>
      <c r="R401">
        <f t="shared" si="42"/>
        <v>0.19734506683804626</v>
      </c>
      <c r="S401">
        <f t="shared" si="42"/>
        <v>0.60764179421787312</v>
      </c>
      <c r="T401">
        <f t="shared" si="42"/>
        <v>0.28603597577688566</v>
      </c>
      <c r="U401">
        <f t="shared" si="42"/>
        <v>0.30193783043886036</v>
      </c>
      <c r="V401">
        <f t="shared" si="42"/>
        <v>0.43407779344561936</v>
      </c>
      <c r="W401">
        <f t="shared" si="42"/>
        <v>0.21673898465281055</v>
      </c>
      <c r="X401">
        <f t="shared" si="42"/>
        <v>0.12701295192048462</v>
      </c>
      <c r="Y401">
        <f t="shared" si="42"/>
        <v>0.35031212367573328</v>
      </c>
      <c r="Z401">
        <f t="shared" si="42"/>
        <v>0.19696221964236929</v>
      </c>
      <c r="AA401">
        <f t="shared" si="42"/>
        <v>0.42275970837412991</v>
      </c>
      <c r="AB401">
        <f t="shared" si="42"/>
        <v>-0.13998382834229475</v>
      </c>
      <c r="AC401">
        <f t="shared" si="42"/>
        <v>0.23002622077346224</v>
      </c>
      <c r="AD401">
        <f t="shared" si="42"/>
        <v>-8.0593128577496662E-2</v>
      </c>
      <c r="AE401">
        <f t="shared" si="42"/>
        <v>0.20523276776007685</v>
      </c>
      <c r="AF401">
        <f t="shared" si="42"/>
        <v>1.0000000000000002</v>
      </c>
      <c r="AG401">
        <f t="shared" si="42"/>
        <v>8.612830725029659E-2</v>
      </c>
      <c r="AH401">
        <f t="shared" si="42"/>
        <v>0.30984950427029667</v>
      </c>
      <c r="AI401">
        <f t="shared" si="42"/>
        <v>0.31869150063333967</v>
      </c>
      <c r="AJ401">
        <f t="shared" si="42"/>
        <v>0.601234913564763</v>
      </c>
      <c r="AK401">
        <f t="shared" si="42"/>
        <v>0.17420954485257531</v>
      </c>
      <c r="AL401">
        <f t="shared" si="42"/>
        <v>0.14371551734878818</v>
      </c>
      <c r="AM401">
        <f t="shared" si="42"/>
        <v>0.3335344403502134</v>
      </c>
      <c r="AN401">
        <f t="shared" si="42"/>
        <v>0.3421789535912193</v>
      </c>
      <c r="AO401">
        <f t="shared" si="42"/>
        <v>2.2939324393478549E-2</v>
      </c>
      <c r="AP401">
        <f t="shared" si="42"/>
        <v>6.51028949399622E-2</v>
      </c>
      <c r="AQ401">
        <f t="shared" si="42"/>
        <v>0.16331320244406894</v>
      </c>
      <c r="AR401">
        <f t="shared" si="42"/>
        <v>0.19510440542544541</v>
      </c>
      <c r="AS401">
        <f t="shared" si="42"/>
        <v>0.27897315037555187</v>
      </c>
      <c r="AT401">
        <f t="shared" si="42"/>
        <v>0.51214610064055921</v>
      </c>
      <c r="AU401">
        <f t="shared" si="42"/>
        <v>-3.5189328522430625E-2</v>
      </c>
      <c r="AV401">
        <f t="shared" si="42"/>
        <v>-1.878698084930492E-2</v>
      </c>
      <c r="AW401">
        <f t="shared" si="42"/>
        <v>0.45032623354223728</v>
      </c>
      <c r="AX401">
        <f t="shared" si="42"/>
        <v>7.7509054695054341E-2</v>
      </c>
      <c r="AY401">
        <f t="shared" si="42"/>
        <v>-0.13926819600010765</v>
      </c>
      <c r="AZ401">
        <f t="shared" si="42"/>
        <v>-1.6027855433383906E-2</v>
      </c>
      <c r="BA401">
        <f t="shared" si="42"/>
        <v>-3.3207187318994094E-2</v>
      </c>
      <c r="BB401">
        <f t="shared" si="42"/>
        <v>0.31318626436017138</v>
      </c>
      <c r="BC401">
        <f t="shared" si="42"/>
        <v>0.34316457640827258</v>
      </c>
      <c r="BD401">
        <f t="shared" si="42"/>
        <v>0.65696293569105679</v>
      </c>
    </row>
    <row r="402" spans="1:56" x14ac:dyDescent="0.2">
      <c r="A402" s="2">
        <v>32</v>
      </c>
      <c r="B402">
        <f>CORREL($AG2:$AG365,B2:B365)</f>
        <v>0.28898965098688773</v>
      </c>
      <c r="C402">
        <f t="shared" ref="C402:BD402" si="43">CORREL($AG2:$AG365,C2:C365)</f>
        <v>0.18936305482867885</v>
      </c>
      <c r="D402">
        <f t="shared" si="43"/>
        <v>0.23399430272631608</v>
      </c>
      <c r="E402">
        <f t="shared" si="43"/>
        <v>0.11951001084685445</v>
      </c>
      <c r="F402">
        <f t="shared" si="43"/>
        <v>6.8540039534705319E-2</v>
      </c>
      <c r="G402">
        <f t="shared" si="43"/>
        <v>0.17091942961363035</v>
      </c>
      <c r="H402">
        <f t="shared" si="43"/>
        <v>6.5339970908685958E-4</v>
      </c>
      <c r="I402">
        <f t="shared" si="43"/>
        <v>0.1588558493951838</v>
      </c>
      <c r="J402">
        <f t="shared" si="43"/>
        <v>0.2409481444747627</v>
      </c>
      <c r="K402">
        <f t="shared" si="43"/>
        <v>0.23503014659868179</v>
      </c>
      <c r="L402">
        <f t="shared" si="43"/>
        <v>0.1022038548804103</v>
      </c>
      <c r="M402">
        <f t="shared" si="43"/>
        <v>0.1693143454218852</v>
      </c>
      <c r="N402">
        <f t="shared" si="43"/>
        <v>6.864234825432218E-2</v>
      </c>
      <c r="O402">
        <f t="shared" si="43"/>
        <v>1.3944478171904853E-2</v>
      </c>
      <c r="P402">
        <f t="shared" si="43"/>
        <v>0.21278710586471306</v>
      </c>
      <c r="Q402">
        <f t="shared" si="43"/>
        <v>0.2156770136651498</v>
      </c>
      <c r="R402">
        <f t="shared" si="43"/>
        <v>0.25475870703606368</v>
      </c>
      <c r="S402">
        <f t="shared" si="43"/>
        <v>0.13197442180478766</v>
      </c>
      <c r="T402">
        <f t="shared" si="43"/>
        <v>0.24759532343991739</v>
      </c>
      <c r="U402">
        <f t="shared" si="43"/>
        <v>-5.0570275673370094E-2</v>
      </c>
      <c r="V402">
        <f t="shared" si="43"/>
        <v>0.31900113046250755</v>
      </c>
      <c r="W402">
        <f t="shared" si="43"/>
        <v>0.19551171717951782</v>
      </c>
      <c r="X402">
        <f t="shared" si="43"/>
        <v>4.9353228020619866E-2</v>
      </c>
      <c r="Y402">
        <f t="shared" si="43"/>
        <v>0.16492026291477033</v>
      </c>
      <c r="Z402">
        <f t="shared" si="43"/>
        <v>0.22317178138920502</v>
      </c>
      <c r="AA402">
        <f t="shared" si="43"/>
        <v>0.28545551825945792</v>
      </c>
      <c r="AB402">
        <f t="shared" si="43"/>
        <v>-4.0063771930945583E-2</v>
      </c>
      <c r="AC402">
        <f t="shared" si="43"/>
        <v>0.16185285892473716</v>
      </c>
      <c r="AD402">
        <f t="shared" si="43"/>
        <v>8.3674164844820986E-2</v>
      </c>
      <c r="AE402">
        <f t="shared" si="43"/>
        <v>0.16956028640648593</v>
      </c>
      <c r="AF402">
        <f t="shared" si="43"/>
        <v>8.612830725029659E-2</v>
      </c>
      <c r="AG402">
        <f t="shared" si="43"/>
        <v>1</v>
      </c>
      <c r="AH402">
        <f t="shared" si="43"/>
        <v>0.22991958745555294</v>
      </c>
      <c r="AI402">
        <f t="shared" si="43"/>
        <v>1.9628533876016794E-2</v>
      </c>
      <c r="AJ402">
        <f t="shared" si="43"/>
        <v>0.18738934224688028</v>
      </c>
      <c r="AK402">
        <f t="shared" si="43"/>
        <v>6.0201627561503039E-2</v>
      </c>
      <c r="AL402">
        <f t="shared" si="43"/>
        <v>0.2336395621315957</v>
      </c>
      <c r="AM402">
        <f t="shared" si="43"/>
        <v>4.5495357995203205E-2</v>
      </c>
      <c r="AN402">
        <f t="shared" si="43"/>
        <v>6.2122666696970662E-2</v>
      </c>
      <c r="AO402">
        <f t="shared" si="43"/>
        <v>-3.9815590801061986E-2</v>
      </c>
      <c r="AP402">
        <f t="shared" si="43"/>
        <v>9.3229714687623283E-2</v>
      </c>
      <c r="AQ402">
        <f t="shared" si="43"/>
        <v>3.554097987856903E-2</v>
      </c>
      <c r="AR402">
        <f t="shared" si="43"/>
        <v>0.22727201734572811</v>
      </c>
      <c r="AS402">
        <f t="shared" si="43"/>
        <v>0.35065939689066528</v>
      </c>
      <c r="AT402">
        <f t="shared" si="43"/>
        <v>0.22714912392986431</v>
      </c>
      <c r="AU402">
        <f t="shared" si="43"/>
        <v>4.6006778062340006E-2</v>
      </c>
      <c r="AV402">
        <f t="shared" si="43"/>
        <v>-7.8468260406149622E-4</v>
      </c>
      <c r="AW402">
        <f t="shared" si="43"/>
        <v>0.22805529238694078</v>
      </c>
      <c r="AX402">
        <f t="shared" si="43"/>
        <v>0.15100675315990847</v>
      </c>
      <c r="AY402">
        <f t="shared" si="43"/>
        <v>-0.10453631710784411</v>
      </c>
      <c r="AZ402">
        <f t="shared" si="43"/>
        <v>2.0517282520206851E-2</v>
      </c>
      <c r="BA402">
        <f t="shared" si="43"/>
        <v>-1.5894703435157535E-2</v>
      </c>
      <c r="BB402">
        <f t="shared" si="43"/>
        <v>0.27199124465678742</v>
      </c>
      <c r="BC402">
        <f t="shared" si="43"/>
        <v>0.15168650257886396</v>
      </c>
      <c r="BD402">
        <f t="shared" si="43"/>
        <v>0.16106700619502595</v>
      </c>
    </row>
    <row r="403" spans="1:56" x14ac:dyDescent="0.2">
      <c r="A403" s="2">
        <v>33</v>
      </c>
      <c r="B403">
        <f>CORREL($AH2:$AH365,B2:B365)</f>
        <v>0.42040202596828319</v>
      </c>
      <c r="C403">
        <f t="shared" ref="C403:BD403" si="44">CORREL($AH2:$AH365,C2:C365)</f>
        <v>0.25372649953458293</v>
      </c>
      <c r="D403">
        <f t="shared" si="44"/>
        <v>0.42675323121354802</v>
      </c>
      <c r="E403">
        <f t="shared" si="44"/>
        <v>0.24376403478094949</v>
      </c>
      <c r="F403">
        <f t="shared" si="44"/>
        <v>-9.499331257188118E-4</v>
      </c>
      <c r="G403">
        <f t="shared" si="44"/>
        <v>5.1633959850183736E-3</v>
      </c>
      <c r="H403">
        <f t="shared" si="44"/>
        <v>-5.3202699760493286E-2</v>
      </c>
      <c r="I403">
        <f t="shared" si="44"/>
        <v>-1.9960915177143136E-2</v>
      </c>
      <c r="J403">
        <f t="shared" si="44"/>
        <v>0.24638175857941202</v>
      </c>
      <c r="K403">
        <f t="shared" si="44"/>
        <v>0.41478947197315752</v>
      </c>
      <c r="L403">
        <f t="shared" si="44"/>
        <v>6.9621163124690133E-2</v>
      </c>
      <c r="M403">
        <f t="shared" si="44"/>
        <v>-5.9726519624920558E-2</v>
      </c>
      <c r="N403">
        <f t="shared" si="44"/>
        <v>-0.15587335818760012</v>
      </c>
      <c r="O403">
        <f t="shared" si="44"/>
        <v>-5.4825414049302551E-2</v>
      </c>
      <c r="P403">
        <f t="shared" si="44"/>
        <v>0.21111775028257168</v>
      </c>
      <c r="Q403">
        <f t="shared" si="44"/>
        <v>0.19035751254706065</v>
      </c>
      <c r="R403">
        <f t="shared" si="44"/>
        <v>0.14083634814187934</v>
      </c>
      <c r="S403">
        <f t="shared" si="44"/>
        <v>0.45873920208707314</v>
      </c>
      <c r="T403">
        <f t="shared" si="44"/>
        <v>0.30364930088348413</v>
      </c>
      <c r="U403">
        <f t="shared" si="44"/>
        <v>0.17799568924448803</v>
      </c>
      <c r="V403">
        <f t="shared" si="44"/>
        <v>0.4308545749343195</v>
      </c>
      <c r="W403">
        <f t="shared" si="44"/>
        <v>0.29812196437602789</v>
      </c>
      <c r="X403">
        <f t="shared" si="44"/>
        <v>2.3091427750613389E-2</v>
      </c>
      <c r="Y403">
        <f t="shared" si="44"/>
        <v>0.36700693626686837</v>
      </c>
      <c r="Z403">
        <f t="shared" si="44"/>
        <v>7.2253408498054839E-2</v>
      </c>
      <c r="AA403">
        <f t="shared" si="44"/>
        <v>0.42542271417170602</v>
      </c>
      <c r="AB403">
        <f t="shared" si="44"/>
        <v>-0.12552947770479486</v>
      </c>
      <c r="AC403">
        <f t="shared" si="44"/>
        <v>0.14085350380639355</v>
      </c>
      <c r="AD403">
        <f t="shared" si="44"/>
        <v>-1.36049414507793E-2</v>
      </c>
      <c r="AE403">
        <f t="shared" si="44"/>
        <v>0.10885250477744275</v>
      </c>
      <c r="AF403">
        <f t="shared" si="44"/>
        <v>0.30984950427029667</v>
      </c>
      <c r="AG403">
        <f t="shared" si="44"/>
        <v>0.22991958745555294</v>
      </c>
      <c r="AH403">
        <f t="shared" si="44"/>
        <v>0.99999999999999978</v>
      </c>
      <c r="AI403">
        <f t="shared" si="44"/>
        <v>0.14041973721989709</v>
      </c>
      <c r="AJ403">
        <f t="shared" si="44"/>
        <v>0.52532205088481454</v>
      </c>
      <c r="AK403">
        <f t="shared" si="44"/>
        <v>0.20027807838049949</v>
      </c>
      <c r="AL403">
        <f t="shared" si="44"/>
        <v>0.24922699600941753</v>
      </c>
      <c r="AM403">
        <f t="shared" si="44"/>
        <v>0.32964476161145467</v>
      </c>
      <c r="AN403">
        <f t="shared" si="44"/>
        <v>0.35014438247933999</v>
      </c>
      <c r="AO403">
        <f t="shared" si="44"/>
        <v>0.21817553388100291</v>
      </c>
      <c r="AP403">
        <f t="shared" si="44"/>
        <v>1.3364145547647983E-3</v>
      </c>
      <c r="AQ403">
        <f t="shared" si="44"/>
        <v>4.4080375170923981E-2</v>
      </c>
      <c r="AR403">
        <f t="shared" si="44"/>
        <v>0.14534875698297514</v>
      </c>
      <c r="AS403">
        <f t="shared" si="44"/>
        <v>0.24507506592323675</v>
      </c>
      <c r="AT403">
        <f t="shared" si="44"/>
        <v>0.34644066696241715</v>
      </c>
      <c r="AU403">
        <f t="shared" si="44"/>
        <v>1.1990980253490579E-2</v>
      </c>
      <c r="AV403">
        <f t="shared" si="44"/>
        <v>-5.0504190864098493E-3</v>
      </c>
      <c r="AW403">
        <f t="shared" si="44"/>
        <v>0.30177866365013845</v>
      </c>
      <c r="AX403">
        <f t="shared" si="44"/>
        <v>6.029168442512888E-3</v>
      </c>
      <c r="AY403">
        <f t="shared" si="44"/>
        <v>-8.8587382182169383E-2</v>
      </c>
      <c r="AZ403">
        <f t="shared" si="44"/>
        <v>8.8997086798783057E-2</v>
      </c>
      <c r="BA403">
        <f t="shared" si="44"/>
        <v>9.7698260864925238E-2</v>
      </c>
      <c r="BB403">
        <f t="shared" si="44"/>
        <v>0.31954041511368003</v>
      </c>
      <c r="BC403">
        <f t="shared" si="44"/>
        <v>0.28716643118885032</v>
      </c>
      <c r="BD403">
        <f t="shared" si="44"/>
        <v>0.53159322811160004</v>
      </c>
    </row>
    <row r="404" spans="1:56" x14ac:dyDescent="0.2">
      <c r="A404" s="2">
        <v>34</v>
      </c>
      <c r="B404">
        <f>CORREL($AI2:$AI365,B2:B365)</f>
        <v>0.36836500827681234</v>
      </c>
      <c r="C404">
        <f t="shared" ref="C404:BD404" si="45">CORREL($AI2:$AI365,C2:C365)</f>
        <v>0.31296772309745019</v>
      </c>
      <c r="D404">
        <f t="shared" si="45"/>
        <v>0.34227808067302284</v>
      </c>
      <c r="E404">
        <f t="shared" si="45"/>
        <v>8.148300667473124E-2</v>
      </c>
      <c r="F404">
        <f t="shared" si="45"/>
        <v>-0.20165672933526774</v>
      </c>
      <c r="G404">
        <f t="shared" si="45"/>
        <v>6.9508418780083361E-2</v>
      </c>
      <c r="H404">
        <f t="shared" si="45"/>
        <v>1.3549702977042718E-2</v>
      </c>
      <c r="I404">
        <f t="shared" si="45"/>
        <v>0.11507733987063001</v>
      </c>
      <c r="J404">
        <f t="shared" si="45"/>
        <v>0.22166338298390406</v>
      </c>
      <c r="K404">
        <f t="shared" si="45"/>
        <v>0.3776084534933638</v>
      </c>
      <c r="L404">
        <f t="shared" si="45"/>
        <v>0.28693089227608293</v>
      </c>
      <c r="M404">
        <f t="shared" si="45"/>
        <v>5.4242250316970254E-2</v>
      </c>
      <c r="N404">
        <f t="shared" si="45"/>
        <v>1.6034035190182136E-2</v>
      </c>
      <c r="O404">
        <f t="shared" si="45"/>
        <v>-4.2023176203746182E-2</v>
      </c>
      <c r="P404">
        <f t="shared" si="45"/>
        <v>0.32292009079366968</v>
      </c>
      <c r="Q404">
        <f t="shared" si="45"/>
        <v>0.21912200764575024</v>
      </c>
      <c r="R404">
        <f t="shared" si="45"/>
        <v>0.28486578740858892</v>
      </c>
      <c r="S404">
        <f t="shared" si="45"/>
        <v>0.68701822918321975</v>
      </c>
      <c r="T404">
        <f t="shared" si="45"/>
        <v>0.23494992347753316</v>
      </c>
      <c r="U404">
        <f t="shared" si="45"/>
        <v>0.11149389449909639</v>
      </c>
      <c r="V404">
        <f t="shared" si="45"/>
        <v>0.40260850897410877</v>
      </c>
      <c r="W404">
        <f t="shared" si="45"/>
        <v>0.21728522545882278</v>
      </c>
      <c r="X404">
        <f t="shared" si="45"/>
        <v>0.25850944110327989</v>
      </c>
      <c r="Y404">
        <f t="shared" si="45"/>
        <v>0.32905656527819066</v>
      </c>
      <c r="Z404">
        <f t="shared" si="45"/>
        <v>0.24359063849218052</v>
      </c>
      <c r="AA404">
        <f t="shared" si="45"/>
        <v>0.40745458573748489</v>
      </c>
      <c r="AB404">
        <f t="shared" si="45"/>
        <v>-6.4239620326864366E-2</v>
      </c>
      <c r="AC404">
        <f t="shared" si="45"/>
        <v>0.42463366928071855</v>
      </c>
      <c r="AD404">
        <f t="shared" si="45"/>
        <v>5.3934617627291077E-2</v>
      </c>
      <c r="AE404">
        <f t="shared" si="45"/>
        <v>0.14617765021977305</v>
      </c>
      <c r="AF404">
        <f t="shared" si="45"/>
        <v>0.31869150063333967</v>
      </c>
      <c r="AG404">
        <f t="shared" si="45"/>
        <v>1.9628533876016794E-2</v>
      </c>
      <c r="AH404">
        <f t="shared" si="45"/>
        <v>0.14041973721989709</v>
      </c>
      <c r="AI404">
        <f t="shared" si="45"/>
        <v>1</v>
      </c>
      <c r="AJ404">
        <f t="shared" si="45"/>
        <v>0.35115719881957291</v>
      </c>
      <c r="AK404">
        <f t="shared" si="45"/>
        <v>0.24800220500220027</v>
      </c>
      <c r="AL404">
        <f t="shared" si="45"/>
        <v>0.1806520784837557</v>
      </c>
      <c r="AM404">
        <f t="shared" si="45"/>
        <v>0.30423701510539503</v>
      </c>
      <c r="AN404">
        <f t="shared" si="45"/>
        <v>0.30348686070396469</v>
      </c>
      <c r="AO404">
        <f t="shared" si="45"/>
        <v>3.6345226882798155E-2</v>
      </c>
      <c r="AP404">
        <f t="shared" si="45"/>
        <v>0.17394593914361864</v>
      </c>
      <c r="AQ404">
        <f t="shared" si="45"/>
        <v>0.29423345370596288</v>
      </c>
      <c r="AR404">
        <f t="shared" si="45"/>
        <v>0.23395304285566015</v>
      </c>
      <c r="AS404">
        <f t="shared" si="45"/>
        <v>0.20813293720747131</v>
      </c>
      <c r="AT404">
        <f t="shared" si="45"/>
        <v>0.35114578473741925</v>
      </c>
      <c r="AU404">
        <f t="shared" si="45"/>
        <v>0.10113670052317081</v>
      </c>
      <c r="AV404">
        <f t="shared" si="45"/>
        <v>-6.6792965900869139E-2</v>
      </c>
      <c r="AW404">
        <f t="shared" si="45"/>
        <v>0.37171126584513159</v>
      </c>
      <c r="AX404">
        <f t="shared" si="45"/>
        <v>0.11781402649443327</v>
      </c>
      <c r="AY404">
        <f t="shared" si="45"/>
        <v>-0.16774529154531495</v>
      </c>
      <c r="AZ404">
        <f t="shared" si="45"/>
        <v>-1.1261900488024969E-2</v>
      </c>
      <c r="BA404">
        <f t="shared" si="45"/>
        <v>6.9918361172239901E-2</v>
      </c>
      <c r="BB404">
        <f t="shared" si="45"/>
        <v>0.32432154186672507</v>
      </c>
      <c r="BC404">
        <f t="shared" si="45"/>
        <v>0.36426356150009509</v>
      </c>
      <c r="BD404">
        <f t="shared" si="45"/>
        <v>0.75911095723553534</v>
      </c>
    </row>
    <row r="405" spans="1:56" x14ac:dyDescent="0.2">
      <c r="A405" s="2">
        <v>35</v>
      </c>
      <c r="B405">
        <f>CORREL($AJ2:$AJ365,B2:B365)</f>
        <v>0.47584592812261672</v>
      </c>
      <c r="C405">
        <f t="shared" ref="C405:BD405" si="46">CORREL($AJ2:$AJ365,C2:C365)</f>
        <v>0.36297894016461574</v>
      </c>
      <c r="D405">
        <f t="shared" si="46"/>
        <v>0.6438047184948289</v>
      </c>
      <c r="E405">
        <f t="shared" si="46"/>
        <v>0.52364057688578569</v>
      </c>
      <c r="F405">
        <f t="shared" si="46"/>
        <v>-9.1196707825181661E-2</v>
      </c>
      <c r="G405">
        <f t="shared" si="46"/>
        <v>3.8676541334008899E-2</v>
      </c>
      <c r="H405">
        <f t="shared" si="46"/>
        <v>-3.393104529230051E-2</v>
      </c>
      <c r="I405">
        <f t="shared" si="46"/>
        <v>7.8981216063847684E-2</v>
      </c>
      <c r="J405">
        <f t="shared" si="46"/>
        <v>0.42188434441775929</v>
      </c>
      <c r="K405">
        <f t="shared" si="46"/>
        <v>0.46465223456525401</v>
      </c>
      <c r="L405">
        <f t="shared" si="46"/>
        <v>0.42008325721120748</v>
      </c>
      <c r="M405">
        <f t="shared" si="46"/>
        <v>3.4606212551848328E-2</v>
      </c>
      <c r="N405">
        <f t="shared" si="46"/>
        <v>-4.7369967466869591E-3</v>
      </c>
      <c r="O405">
        <f t="shared" si="46"/>
        <v>7.4997952963155581E-3</v>
      </c>
      <c r="P405">
        <f t="shared" si="46"/>
        <v>0.48030005810802268</v>
      </c>
      <c r="Q405">
        <f t="shared" si="46"/>
        <v>0.28488335229196377</v>
      </c>
      <c r="R405">
        <f t="shared" si="46"/>
        <v>0.4861322051883038</v>
      </c>
      <c r="S405">
        <f t="shared" si="46"/>
        <v>0.43450854668498234</v>
      </c>
      <c r="T405">
        <f t="shared" si="46"/>
        <v>0.57433577750744502</v>
      </c>
      <c r="U405">
        <f t="shared" si="46"/>
        <v>0.4430318224975614</v>
      </c>
      <c r="V405">
        <f t="shared" si="46"/>
        <v>0.59531727646022214</v>
      </c>
      <c r="W405">
        <f t="shared" si="46"/>
        <v>0.48310360372487698</v>
      </c>
      <c r="X405">
        <f t="shared" si="46"/>
        <v>0.44215001832909318</v>
      </c>
      <c r="Y405">
        <f t="shared" si="46"/>
        <v>0.46225659935586688</v>
      </c>
      <c r="Z405">
        <f t="shared" si="46"/>
        <v>0.29234301540944241</v>
      </c>
      <c r="AA405">
        <f t="shared" si="46"/>
        <v>0.61113269701116146</v>
      </c>
      <c r="AB405">
        <f t="shared" si="46"/>
        <v>-0.34329319067241221</v>
      </c>
      <c r="AC405">
        <f t="shared" si="46"/>
        <v>0.54309305940247909</v>
      </c>
      <c r="AD405">
        <f t="shared" si="46"/>
        <v>-9.543217567327604E-2</v>
      </c>
      <c r="AE405">
        <f t="shared" si="46"/>
        <v>0.2013681026098785</v>
      </c>
      <c r="AF405">
        <f t="shared" si="46"/>
        <v>0.601234913564763</v>
      </c>
      <c r="AG405">
        <f t="shared" si="46"/>
        <v>0.18738934224688028</v>
      </c>
      <c r="AH405">
        <f t="shared" si="46"/>
        <v>0.52532205088481454</v>
      </c>
      <c r="AI405">
        <f t="shared" si="46"/>
        <v>0.35115719881957291</v>
      </c>
      <c r="AJ405">
        <f t="shared" si="46"/>
        <v>1</v>
      </c>
      <c r="AK405">
        <f t="shared" si="46"/>
        <v>0.60393104909245798</v>
      </c>
      <c r="AL405">
        <f t="shared" si="46"/>
        <v>0.38513071094259854</v>
      </c>
      <c r="AM405">
        <f t="shared" si="46"/>
        <v>0.54755724843235776</v>
      </c>
      <c r="AN405">
        <f t="shared" si="46"/>
        <v>0.55078411791949278</v>
      </c>
      <c r="AO405">
        <f t="shared" si="46"/>
        <v>5.0371696694217934E-2</v>
      </c>
      <c r="AP405">
        <f t="shared" si="46"/>
        <v>8.0960319908975467E-2</v>
      </c>
      <c r="AQ405">
        <f t="shared" si="46"/>
        <v>0.50262193396320443</v>
      </c>
      <c r="AR405">
        <f t="shared" si="46"/>
        <v>0.47822343901670944</v>
      </c>
      <c r="AS405">
        <f t="shared" si="46"/>
        <v>0.47384651274847256</v>
      </c>
      <c r="AT405">
        <f t="shared" si="46"/>
        <v>0.53217421956021616</v>
      </c>
      <c r="AU405">
        <f t="shared" si="46"/>
        <v>0.16432117193812898</v>
      </c>
      <c r="AV405">
        <f t="shared" si="46"/>
        <v>-3.3126432767299395E-2</v>
      </c>
      <c r="AW405">
        <f t="shared" si="46"/>
        <v>0.37587358230821044</v>
      </c>
      <c r="AX405">
        <f t="shared" si="46"/>
        <v>8.7474376906674089E-2</v>
      </c>
      <c r="AY405">
        <f t="shared" si="46"/>
        <v>-0.11954127662039063</v>
      </c>
      <c r="AZ405">
        <f t="shared" si="46"/>
        <v>-0.1100365545015468</v>
      </c>
      <c r="BA405">
        <f t="shared" si="46"/>
        <v>-2.0387125753206784E-2</v>
      </c>
      <c r="BB405">
        <f t="shared" si="46"/>
        <v>0.52313893979547021</v>
      </c>
      <c r="BC405">
        <f t="shared" si="46"/>
        <v>0.57918277866290735</v>
      </c>
      <c r="BD405">
        <f t="shared" si="46"/>
        <v>0.61534480343992082</v>
      </c>
    </row>
    <row r="406" spans="1:56" x14ac:dyDescent="0.2">
      <c r="A406" s="2">
        <v>36</v>
      </c>
      <c r="B406">
        <f>CORREL($AK2:$AK365,B2:B365)</f>
        <v>0.29018333819224912</v>
      </c>
      <c r="C406">
        <f t="shared" ref="C406:BD406" si="47">CORREL($AK2:$AK365,C2:C365)</f>
        <v>0.18976885954571049</v>
      </c>
      <c r="D406">
        <f t="shared" si="47"/>
        <v>0.3393590383089003</v>
      </c>
      <c r="E406">
        <f t="shared" si="47"/>
        <v>0.17572525370854788</v>
      </c>
      <c r="F406">
        <f t="shared" si="47"/>
        <v>-8.9848893819908487E-2</v>
      </c>
      <c r="G406">
        <f t="shared" si="47"/>
        <v>0.22751918786588507</v>
      </c>
      <c r="H406">
        <f t="shared" si="47"/>
        <v>-9.8098592075359318E-3</v>
      </c>
      <c r="I406">
        <f t="shared" si="47"/>
        <v>0.19802011222945121</v>
      </c>
      <c r="J406">
        <f t="shared" si="47"/>
        <v>0.10787252993323106</v>
      </c>
      <c r="K406">
        <f t="shared" si="47"/>
        <v>0.44387392674964593</v>
      </c>
      <c r="L406">
        <f t="shared" si="47"/>
        <v>0.19034348183998778</v>
      </c>
      <c r="M406">
        <f t="shared" si="47"/>
        <v>0.20548401491936735</v>
      </c>
      <c r="N406">
        <f t="shared" si="47"/>
        <v>0.27884784194380147</v>
      </c>
      <c r="O406">
        <f t="shared" si="47"/>
        <v>0.18151420145502389</v>
      </c>
      <c r="P406">
        <f t="shared" si="47"/>
        <v>3.5135181872459932E-2</v>
      </c>
      <c r="Q406">
        <f t="shared" si="47"/>
        <v>5.2277143751202279E-2</v>
      </c>
      <c r="R406">
        <f t="shared" si="47"/>
        <v>-2.6110510387991646E-2</v>
      </c>
      <c r="S406">
        <f t="shared" si="47"/>
        <v>0.57586979047861886</v>
      </c>
      <c r="T406">
        <f t="shared" si="47"/>
        <v>0.23930528079804678</v>
      </c>
      <c r="U406">
        <f t="shared" si="47"/>
        <v>0.3803698416764219</v>
      </c>
      <c r="V406">
        <f t="shared" si="47"/>
        <v>0.5431033049706675</v>
      </c>
      <c r="W406">
        <f t="shared" si="47"/>
        <v>0.34678506286597105</v>
      </c>
      <c r="X406">
        <f t="shared" si="47"/>
        <v>9.7253534873162316E-3</v>
      </c>
      <c r="Y406">
        <f t="shared" si="47"/>
        <v>0.20268085481504697</v>
      </c>
      <c r="Z406">
        <f t="shared" si="47"/>
        <v>0.21124212211234827</v>
      </c>
      <c r="AA406">
        <f t="shared" si="47"/>
        <v>0.53568176737055995</v>
      </c>
      <c r="AB406">
        <f t="shared" si="47"/>
        <v>-0.10958905298811747</v>
      </c>
      <c r="AC406">
        <f t="shared" si="47"/>
        <v>0.16730457654383168</v>
      </c>
      <c r="AD406">
        <f t="shared" si="47"/>
        <v>0.14278727540177019</v>
      </c>
      <c r="AE406">
        <f t="shared" si="47"/>
        <v>0.12721923879288813</v>
      </c>
      <c r="AF406">
        <f t="shared" si="47"/>
        <v>0.17420954485257531</v>
      </c>
      <c r="AG406">
        <f t="shared" si="47"/>
        <v>6.0201627561503039E-2</v>
      </c>
      <c r="AH406">
        <f t="shared" si="47"/>
        <v>0.20027807838049949</v>
      </c>
      <c r="AI406">
        <f t="shared" si="47"/>
        <v>0.24800220500220027</v>
      </c>
      <c r="AJ406">
        <f t="shared" si="47"/>
        <v>0.60393104909245798</v>
      </c>
      <c r="AK406">
        <f t="shared" si="47"/>
        <v>1</v>
      </c>
      <c r="AL406">
        <f t="shared" si="47"/>
        <v>5.4372359405020478E-2</v>
      </c>
      <c r="AM406">
        <f t="shared" si="47"/>
        <v>0.47129610490407609</v>
      </c>
      <c r="AN406">
        <f t="shared" si="47"/>
        <v>0.45909281331545265</v>
      </c>
      <c r="AO406">
        <f t="shared" si="47"/>
        <v>2.0387654464701425E-2</v>
      </c>
      <c r="AP406">
        <f t="shared" si="47"/>
        <v>-0.11308863304711833</v>
      </c>
      <c r="AQ406">
        <f t="shared" si="47"/>
        <v>0.11391515756839295</v>
      </c>
      <c r="AR406">
        <f t="shared" si="47"/>
        <v>0.18258860151931239</v>
      </c>
      <c r="AS406">
        <f t="shared" si="47"/>
        <v>0.18725771232637231</v>
      </c>
      <c r="AT406">
        <f t="shared" si="47"/>
        <v>0.32482144535223806</v>
      </c>
      <c r="AU406">
        <f t="shared" si="47"/>
        <v>8.3108599042691411E-2</v>
      </c>
      <c r="AV406">
        <f t="shared" si="47"/>
        <v>5.0503942993222944E-2</v>
      </c>
      <c r="AW406">
        <f t="shared" si="47"/>
        <v>0.35913112309782447</v>
      </c>
      <c r="AX406">
        <f t="shared" si="47"/>
        <v>0.24826772591359902</v>
      </c>
      <c r="AY406">
        <f t="shared" si="47"/>
        <v>-7.0850663825075905E-2</v>
      </c>
      <c r="AZ406">
        <f t="shared" si="47"/>
        <v>2.6301509088865145E-2</v>
      </c>
      <c r="BA406">
        <f t="shared" si="47"/>
        <v>5.5567306632837345E-3</v>
      </c>
      <c r="BB406">
        <f t="shared" si="47"/>
        <v>0.2571975021082446</v>
      </c>
      <c r="BC406">
        <f t="shared" si="47"/>
        <v>0.33710594674818167</v>
      </c>
      <c r="BD406">
        <f t="shared" si="47"/>
        <v>0.76909755065680196</v>
      </c>
    </row>
    <row r="407" spans="1:56" x14ac:dyDescent="0.2">
      <c r="A407" s="2">
        <v>37</v>
      </c>
      <c r="B407">
        <f>CORREL($AL2:$AL365,B2:B365)</f>
        <v>0.19872259071970061</v>
      </c>
      <c r="C407">
        <f t="shared" ref="C407:BD407" si="48">CORREL($AL2:$AL365,C2:C365)</f>
        <v>0.23396742026536432</v>
      </c>
      <c r="D407">
        <f t="shared" si="48"/>
        <v>0.16368201653589681</v>
      </c>
      <c r="E407">
        <f t="shared" si="48"/>
        <v>5.7806663642846756E-4</v>
      </c>
      <c r="F407">
        <f t="shared" si="48"/>
        <v>4.2998269263572982E-2</v>
      </c>
      <c r="G407">
        <f t="shared" si="48"/>
        <v>-6.4995122995236713E-3</v>
      </c>
      <c r="H407">
        <f t="shared" si="48"/>
        <v>-6.0541333836359582E-2</v>
      </c>
      <c r="I407">
        <f t="shared" si="48"/>
        <v>-2.9716504805412321E-2</v>
      </c>
      <c r="J407">
        <f t="shared" si="48"/>
        <v>0.3066836734472459</v>
      </c>
      <c r="K407">
        <f t="shared" si="48"/>
        <v>0.42660900988337414</v>
      </c>
      <c r="L407">
        <f t="shared" si="48"/>
        <v>0.22114812566058872</v>
      </c>
      <c r="M407">
        <f t="shared" si="48"/>
        <v>-1.6334251853147977E-2</v>
      </c>
      <c r="N407">
        <f t="shared" si="48"/>
        <v>-7.5580291026227348E-2</v>
      </c>
      <c r="O407">
        <f t="shared" si="48"/>
        <v>2.1445800182004107E-2</v>
      </c>
      <c r="P407">
        <f t="shared" si="48"/>
        <v>0.270998129035871</v>
      </c>
      <c r="Q407">
        <f t="shared" si="48"/>
        <v>0.13391343140104081</v>
      </c>
      <c r="R407">
        <f t="shared" si="48"/>
        <v>0.2606504006146993</v>
      </c>
      <c r="S407">
        <f t="shared" si="48"/>
        <v>0.39680749211016941</v>
      </c>
      <c r="T407">
        <f t="shared" si="48"/>
        <v>0.10781755060860777</v>
      </c>
      <c r="U407">
        <f t="shared" si="48"/>
        <v>8.2779171680029285E-3</v>
      </c>
      <c r="V407">
        <f t="shared" si="48"/>
        <v>0.189400232248287</v>
      </c>
      <c r="W407">
        <f t="shared" si="48"/>
        <v>0.16203659123896935</v>
      </c>
      <c r="X407">
        <f t="shared" si="48"/>
        <v>7.2459359079437138E-2</v>
      </c>
      <c r="Y407">
        <f t="shared" si="48"/>
        <v>0.18041070789473387</v>
      </c>
      <c r="Z407">
        <f t="shared" si="48"/>
        <v>0.23312060361373818</v>
      </c>
      <c r="AA407">
        <f t="shared" si="48"/>
        <v>0.186917901512655</v>
      </c>
      <c r="AB407">
        <f t="shared" si="48"/>
        <v>-0.3023134147654617</v>
      </c>
      <c r="AC407">
        <f t="shared" si="48"/>
        <v>0.2073879151760315</v>
      </c>
      <c r="AD407">
        <f t="shared" si="48"/>
        <v>4.5204691339903146E-2</v>
      </c>
      <c r="AE407">
        <f t="shared" si="48"/>
        <v>0.10468844047727593</v>
      </c>
      <c r="AF407">
        <f t="shared" si="48"/>
        <v>0.14371551734878818</v>
      </c>
      <c r="AG407">
        <f t="shared" si="48"/>
        <v>0.2336395621315957</v>
      </c>
      <c r="AH407">
        <f t="shared" si="48"/>
        <v>0.24922699600941753</v>
      </c>
      <c r="AI407">
        <f t="shared" si="48"/>
        <v>0.1806520784837557</v>
      </c>
      <c r="AJ407">
        <f t="shared" si="48"/>
        <v>0.38513071094259854</v>
      </c>
      <c r="AK407">
        <f t="shared" si="48"/>
        <v>5.4372359405020478E-2</v>
      </c>
      <c r="AL407">
        <f t="shared" si="48"/>
        <v>1</v>
      </c>
      <c r="AM407">
        <f t="shared" si="48"/>
        <v>0.11345024444774161</v>
      </c>
      <c r="AN407">
        <f t="shared" si="48"/>
        <v>0.10755619571016602</v>
      </c>
      <c r="AO407">
        <f t="shared" si="48"/>
        <v>0.10130695598976257</v>
      </c>
      <c r="AP407">
        <f t="shared" si="48"/>
        <v>0.12849906412668913</v>
      </c>
      <c r="AQ407">
        <f t="shared" si="48"/>
        <v>7.4570742426250183E-2</v>
      </c>
      <c r="AR407">
        <f t="shared" si="48"/>
        <v>0.19186753222841693</v>
      </c>
      <c r="AS407">
        <f t="shared" si="48"/>
        <v>0.32022477755434131</v>
      </c>
      <c r="AT407">
        <f t="shared" si="48"/>
        <v>0.17487829964833165</v>
      </c>
      <c r="AU407">
        <f t="shared" si="48"/>
        <v>4.7112947938774781E-3</v>
      </c>
      <c r="AV407">
        <f t="shared" si="48"/>
        <v>5.0711379023612224E-2</v>
      </c>
      <c r="AW407">
        <f t="shared" si="48"/>
        <v>0.21847210059299813</v>
      </c>
      <c r="AX407">
        <f t="shared" si="48"/>
        <v>-1.3100442662989303E-2</v>
      </c>
      <c r="AY407">
        <f t="shared" si="48"/>
        <v>-9.4984746716574725E-2</v>
      </c>
      <c r="AZ407">
        <f t="shared" si="48"/>
        <v>2.4438842790912269E-2</v>
      </c>
      <c r="BA407">
        <f t="shared" si="48"/>
        <v>1.0059592281303835E-2</v>
      </c>
      <c r="BB407">
        <f t="shared" si="48"/>
        <v>0.27747901442690043</v>
      </c>
      <c r="BC407">
        <f t="shared" si="48"/>
        <v>0.17498411562231778</v>
      </c>
      <c r="BD407">
        <f t="shared" si="48"/>
        <v>0.6082938717913623</v>
      </c>
    </row>
    <row r="408" spans="1:56" x14ac:dyDescent="0.2">
      <c r="A408" s="2">
        <v>38</v>
      </c>
      <c r="B408">
        <f>CORREL($AM2:$AM365,B2:B365)</f>
        <v>0.3996740142911781</v>
      </c>
      <c r="C408">
        <f t="shared" ref="C408:BD408" si="49">CORREL($AM2:$AM365,C2:C365)</f>
        <v>0.19342686692484906</v>
      </c>
      <c r="D408">
        <f t="shared" si="49"/>
        <v>0.25242704000214994</v>
      </c>
      <c r="E408">
        <f t="shared" si="49"/>
        <v>0.24856254221749163</v>
      </c>
      <c r="F408">
        <f t="shared" si="49"/>
        <v>-0.16226185840083079</v>
      </c>
      <c r="G408">
        <f t="shared" si="49"/>
        <v>-3.1789223269355613E-2</v>
      </c>
      <c r="H408">
        <f t="shared" si="49"/>
        <v>1.1395964327853413E-2</v>
      </c>
      <c r="I408">
        <f t="shared" si="49"/>
        <v>-5.5353184818665135E-2</v>
      </c>
      <c r="J408">
        <f t="shared" si="49"/>
        <v>0.19371430330525646</v>
      </c>
      <c r="K408">
        <f t="shared" si="49"/>
        <v>0.52102643901318646</v>
      </c>
      <c r="L408">
        <f t="shared" si="49"/>
        <v>9.9461509691452704E-2</v>
      </c>
      <c r="M408">
        <f t="shared" si="49"/>
        <v>7.6128795783275499E-2</v>
      </c>
      <c r="N408">
        <f t="shared" si="49"/>
        <v>9.6107599610414804E-2</v>
      </c>
      <c r="O408">
        <f t="shared" si="49"/>
        <v>-3.2339040413332652E-2</v>
      </c>
      <c r="P408">
        <f t="shared" si="49"/>
        <v>0.19009806186266734</v>
      </c>
      <c r="Q408">
        <f t="shared" si="49"/>
        <v>5.6901941230422644E-2</v>
      </c>
      <c r="R408">
        <f t="shared" si="49"/>
        <v>1.1808268990154318E-2</v>
      </c>
      <c r="S408">
        <f t="shared" si="49"/>
        <v>0.70138686608183098</v>
      </c>
      <c r="T408">
        <f t="shared" si="49"/>
        <v>0.25209249755596053</v>
      </c>
      <c r="U408">
        <f t="shared" si="49"/>
        <v>0.28020153215915711</v>
      </c>
      <c r="V408">
        <f t="shared" si="49"/>
        <v>0.50429271415377974</v>
      </c>
      <c r="W408">
        <f t="shared" si="49"/>
        <v>0.38888384244499602</v>
      </c>
      <c r="X408">
        <f t="shared" si="49"/>
        <v>7.0597639397982099E-3</v>
      </c>
      <c r="Y408">
        <f t="shared" si="49"/>
        <v>0.34087748170012849</v>
      </c>
      <c r="Z408">
        <f t="shared" si="49"/>
        <v>0.17094314385210438</v>
      </c>
      <c r="AA408">
        <f t="shared" si="49"/>
        <v>0.48706756602073753</v>
      </c>
      <c r="AB408">
        <f t="shared" si="49"/>
        <v>-9.6770616754583025E-2</v>
      </c>
      <c r="AC408">
        <f t="shared" si="49"/>
        <v>0.20711589267312258</v>
      </c>
      <c r="AD408">
        <f t="shared" si="49"/>
        <v>-8.3728743870926448E-4</v>
      </c>
      <c r="AE408">
        <f t="shared" si="49"/>
        <v>0.11304661525220937</v>
      </c>
      <c r="AF408">
        <f t="shared" si="49"/>
        <v>0.3335344403502134</v>
      </c>
      <c r="AG408">
        <f t="shared" si="49"/>
        <v>4.5495357995203205E-2</v>
      </c>
      <c r="AH408">
        <f t="shared" si="49"/>
        <v>0.32964476161145467</v>
      </c>
      <c r="AI408">
        <f t="shared" si="49"/>
        <v>0.30423701510539503</v>
      </c>
      <c r="AJ408">
        <f t="shared" si="49"/>
        <v>0.54755724843235776</v>
      </c>
      <c r="AK408">
        <f t="shared" si="49"/>
        <v>0.47129610490407609</v>
      </c>
      <c r="AL408">
        <f t="shared" si="49"/>
        <v>0.11345024444774161</v>
      </c>
      <c r="AM408">
        <f t="shared" si="49"/>
        <v>1</v>
      </c>
      <c r="AN408">
        <f t="shared" si="49"/>
        <v>0.98835556861583429</v>
      </c>
      <c r="AO408">
        <f t="shared" si="49"/>
        <v>2.981103948351646E-2</v>
      </c>
      <c r="AP408">
        <f t="shared" si="49"/>
        <v>-8.8454202967910345E-2</v>
      </c>
      <c r="AQ408">
        <f t="shared" si="49"/>
        <v>8.6613326929259951E-2</v>
      </c>
      <c r="AR408">
        <f t="shared" si="49"/>
        <v>0.10428212391227606</v>
      </c>
      <c r="AS408">
        <f t="shared" si="49"/>
        <v>0.29576129546672786</v>
      </c>
      <c r="AT408">
        <f t="shared" si="49"/>
        <v>0.26673630592323139</v>
      </c>
      <c r="AU408">
        <f t="shared" si="49"/>
        <v>5.8159297123799809E-2</v>
      </c>
      <c r="AV408">
        <f t="shared" si="49"/>
        <v>3.5492088990771227E-2</v>
      </c>
      <c r="AW408">
        <f t="shared" si="49"/>
        <v>0.29314670537143123</v>
      </c>
      <c r="AX408">
        <f t="shared" si="49"/>
        <v>-4.1331527671815908E-2</v>
      </c>
      <c r="AY408">
        <f t="shared" si="49"/>
        <v>-0.13215066307161596</v>
      </c>
      <c r="AZ408">
        <f t="shared" si="49"/>
        <v>-4.9339562515325107E-3</v>
      </c>
      <c r="BA408">
        <f t="shared" si="49"/>
        <v>0.17609028131397395</v>
      </c>
      <c r="BB408">
        <f t="shared" si="49"/>
        <v>0.20577796881435298</v>
      </c>
      <c r="BC408">
        <f t="shared" si="49"/>
        <v>0.48512645015590738</v>
      </c>
      <c r="BD408">
        <f t="shared" si="49"/>
        <v>0.81287432582902941</v>
      </c>
    </row>
    <row r="409" spans="1:56" x14ac:dyDescent="0.2">
      <c r="A409" s="2">
        <v>39</v>
      </c>
      <c r="B409">
        <f>CORREL($AN2:$AN365,B2:B365)</f>
        <v>0.40684055419747817</v>
      </c>
      <c r="C409">
        <f t="shared" ref="C409:BD409" si="50">CORREL($AN2:$AN365,C2:C365)</f>
        <v>0.19491263091058159</v>
      </c>
      <c r="D409">
        <f t="shared" si="50"/>
        <v>0.25099246017500637</v>
      </c>
      <c r="E409">
        <f t="shared" si="50"/>
        <v>0.25819623448630835</v>
      </c>
      <c r="F409">
        <f t="shared" si="50"/>
        <v>-0.17485426519404804</v>
      </c>
      <c r="G409">
        <f t="shared" si="50"/>
        <v>-4.3061027433847723E-2</v>
      </c>
      <c r="H409">
        <f t="shared" si="50"/>
        <v>1.1243086348667043E-2</v>
      </c>
      <c r="I409">
        <f t="shared" si="50"/>
        <v>-6.0402268588372644E-2</v>
      </c>
      <c r="J409">
        <f t="shared" si="50"/>
        <v>0.18801041277543803</v>
      </c>
      <c r="K409">
        <f t="shared" si="50"/>
        <v>0.52383595983543552</v>
      </c>
      <c r="L409">
        <f t="shared" si="50"/>
        <v>8.9329520868569087E-2</v>
      </c>
      <c r="M409">
        <f t="shared" si="50"/>
        <v>5.1685050888755177E-2</v>
      </c>
      <c r="N409">
        <f t="shared" si="50"/>
        <v>7.6067669767455326E-2</v>
      </c>
      <c r="O409">
        <f t="shared" si="50"/>
        <v>-4.1040192229856928E-2</v>
      </c>
      <c r="P409">
        <f t="shared" si="50"/>
        <v>0.19313085013012915</v>
      </c>
      <c r="Q409">
        <f t="shared" si="50"/>
        <v>6.2584304940630525E-2</v>
      </c>
      <c r="R409">
        <f t="shared" si="50"/>
        <v>2.4677017181298676E-2</v>
      </c>
      <c r="S409">
        <f t="shared" si="50"/>
        <v>0.70263615166870974</v>
      </c>
      <c r="T409">
        <f t="shared" si="50"/>
        <v>0.25587269395692869</v>
      </c>
      <c r="U409">
        <f t="shared" si="50"/>
        <v>0.27746537694921486</v>
      </c>
      <c r="V409">
        <f t="shared" si="50"/>
        <v>0.52292026891876242</v>
      </c>
      <c r="W409">
        <f t="shared" si="50"/>
        <v>0.38912653279900189</v>
      </c>
      <c r="X409">
        <f t="shared" si="50"/>
        <v>1.7466784797798333E-3</v>
      </c>
      <c r="Y409">
        <f t="shared" si="50"/>
        <v>0.33121814937397592</v>
      </c>
      <c r="Z409">
        <f t="shared" si="50"/>
        <v>0.16307692556251521</v>
      </c>
      <c r="AA409">
        <f t="shared" si="50"/>
        <v>0.50717066237114306</v>
      </c>
      <c r="AB409">
        <f t="shared" si="50"/>
        <v>-0.10023042077603381</v>
      </c>
      <c r="AC409">
        <f t="shared" si="50"/>
        <v>0.19792849676483359</v>
      </c>
      <c r="AD409">
        <f t="shared" si="50"/>
        <v>3.0258313783783656E-3</v>
      </c>
      <c r="AE409">
        <f t="shared" si="50"/>
        <v>0.11067881421162019</v>
      </c>
      <c r="AF409">
        <f t="shared" si="50"/>
        <v>0.3421789535912193</v>
      </c>
      <c r="AG409">
        <f t="shared" si="50"/>
        <v>6.2122666696970662E-2</v>
      </c>
      <c r="AH409">
        <f t="shared" si="50"/>
        <v>0.35014438247933999</v>
      </c>
      <c r="AI409">
        <f t="shared" si="50"/>
        <v>0.30348686070396469</v>
      </c>
      <c r="AJ409">
        <f t="shared" si="50"/>
        <v>0.55078411791949278</v>
      </c>
      <c r="AK409">
        <f t="shared" si="50"/>
        <v>0.45909281331545265</v>
      </c>
      <c r="AL409">
        <f t="shared" si="50"/>
        <v>0.10755619571016602</v>
      </c>
      <c r="AM409">
        <f t="shared" si="50"/>
        <v>0.98835556861583429</v>
      </c>
      <c r="AN409">
        <f t="shared" si="50"/>
        <v>1</v>
      </c>
      <c r="AO409">
        <f t="shared" si="50"/>
        <v>4.3823460593300591E-2</v>
      </c>
      <c r="AP409">
        <f t="shared" si="50"/>
        <v>-0.1010183881243288</v>
      </c>
      <c r="AQ409">
        <f t="shared" si="50"/>
        <v>8.6633787216491315E-2</v>
      </c>
      <c r="AR409">
        <f t="shared" si="50"/>
        <v>0.11304329173514721</v>
      </c>
      <c r="AS409">
        <f t="shared" si="50"/>
        <v>0.31224594410720569</v>
      </c>
      <c r="AT409">
        <f t="shared" si="50"/>
        <v>0.26349045316860153</v>
      </c>
      <c r="AU409">
        <f t="shared" si="50"/>
        <v>5.2859152377917606E-2</v>
      </c>
      <c r="AV409">
        <f t="shared" si="50"/>
        <v>2.4168782804569876E-2</v>
      </c>
      <c r="AW409">
        <f t="shared" si="50"/>
        <v>0.28480342771231526</v>
      </c>
      <c r="AX409">
        <f t="shared" si="50"/>
        <v>-4.6949792596927671E-2</v>
      </c>
      <c r="AY409">
        <f t="shared" si="50"/>
        <v>-0.13764892030346992</v>
      </c>
      <c r="AZ409">
        <f t="shared" si="50"/>
        <v>3.02067286954109E-3</v>
      </c>
      <c r="BA409">
        <f t="shared" si="50"/>
        <v>0.17610771061341729</v>
      </c>
      <c r="BB409">
        <f t="shared" si="50"/>
        <v>0.20551050255522441</v>
      </c>
      <c r="BC409">
        <f t="shared" si="50"/>
        <v>0.48443949331019115</v>
      </c>
      <c r="BD409">
        <f t="shared" si="50"/>
        <v>0.81581502353991753</v>
      </c>
    </row>
    <row r="410" spans="1:56" x14ac:dyDescent="0.2">
      <c r="A410" s="2">
        <v>40</v>
      </c>
      <c r="B410">
        <f>CORREL($AO2:$AO365,B2:B365)</f>
        <v>5.2460500306589747E-2</v>
      </c>
      <c r="C410">
        <f t="shared" ref="C410:BD410" si="51">CORREL($AO2:$AO365,C2:C365)</f>
        <v>-2.101411677646901E-2</v>
      </c>
      <c r="D410">
        <f t="shared" si="51"/>
        <v>0.14067790062679963</v>
      </c>
      <c r="E410">
        <f t="shared" si="51"/>
        <v>-0.11514695073081184</v>
      </c>
      <c r="F410">
        <f t="shared" si="51"/>
        <v>-6.5182696391311329E-2</v>
      </c>
      <c r="G410">
        <f t="shared" si="51"/>
        <v>-5.5815821472253682E-2</v>
      </c>
      <c r="H410">
        <f t="shared" si="51"/>
        <v>-0.28432736400287861</v>
      </c>
      <c r="I410">
        <f t="shared" si="51"/>
        <v>5.1876226339930595E-2</v>
      </c>
      <c r="J410">
        <f t="shared" si="51"/>
        <v>0.14517961934207874</v>
      </c>
      <c r="K410">
        <f t="shared" si="51"/>
        <v>-0.30150885947055162</v>
      </c>
      <c r="L410">
        <f t="shared" si="51"/>
        <v>9.0054360532133754E-2</v>
      </c>
      <c r="M410">
        <f t="shared" si="51"/>
        <v>-0.16738391753608503</v>
      </c>
      <c r="N410">
        <f t="shared" si="51"/>
        <v>-0.10151608848019254</v>
      </c>
      <c r="O410">
        <f t="shared" si="51"/>
        <v>6.0411336765820427E-3</v>
      </c>
      <c r="P410">
        <f t="shared" si="51"/>
        <v>0.10317365210127584</v>
      </c>
      <c r="Q410">
        <f t="shared" si="51"/>
        <v>-1.4194888326429927E-2</v>
      </c>
      <c r="R410">
        <f t="shared" si="51"/>
        <v>-1.7377785462856274E-2</v>
      </c>
      <c r="S410">
        <f t="shared" si="51"/>
        <v>-7.010672975211827E-3</v>
      </c>
      <c r="T410">
        <f t="shared" si="51"/>
        <v>9.1928935884687646E-2</v>
      </c>
      <c r="U410">
        <f t="shared" si="51"/>
        <v>-8.2429964034229832E-3</v>
      </c>
      <c r="V410">
        <f t="shared" si="51"/>
        <v>3.162318001346489E-2</v>
      </c>
      <c r="W410">
        <f t="shared" si="51"/>
        <v>0.13953956612254981</v>
      </c>
      <c r="X410">
        <f t="shared" si="51"/>
        <v>-0.12003552452447441</v>
      </c>
      <c r="Y410">
        <f t="shared" si="51"/>
        <v>-9.1114595994102772E-3</v>
      </c>
      <c r="Z410">
        <f t="shared" si="51"/>
        <v>-6.2812025314041009E-2</v>
      </c>
      <c r="AA410">
        <f t="shared" si="51"/>
        <v>1.9278930585564315E-2</v>
      </c>
      <c r="AB410">
        <f t="shared" si="51"/>
        <v>5.6191595905101109E-2</v>
      </c>
      <c r="AC410">
        <f t="shared" si="51"/>
        <v>5.2858950751672643E-2</v>
      </c>
      <c r="AD410">
        <f t="shared" si="51"/>
        <v>0.10191674099697097</v>
      </c>
      <c r="AE410">
        <f t="shared" si="51"/>
        <v>-3.4586785163493125E-3</v>
      </c>
      <c r="AF410">
        <f t="shared" si="51"/>
        <v>2.2939324393478549E-2</v>
      </c>
      <c r="AG410">
        <f t="shared" si="51"/>
        <v>-3.9815590801061986E-2</v>
      </c>
      <c r="AH410">
        <f t="shared" si="51"/>
        <v>0.21817553388100291</v>
      </c>
      <c r="AI410">
        <f t="shared" si="51"/>
        <v>3.6345226882798155E-2</v>
      </c>
      <c r="AJ410">
        <f t="shared" si="51"/>
        <v>5.0371696694217934E-2</v>
      </c>
      <c r="AK410">
        <f t="shared" si="51"/>
        <v>2.0387654464701425E-2</v>
      </c>
      <c r="AL410">
        <f t="shared" si="51"/>
        <v>0.10130695598976257</v>
      </c>
      <c r="AM410">
        <f t="shared" si="51"/>
        <v>2.981103948351646E-2</v>
      </c>
      <c r="AN410">
        <f t="shared" si="51"/>
        <v>4.3823460593300591E-2</v>
      </c>
      <c r="AO410">
        <f t="shared" si="51"/>
        <v>1</v>
      </c>
      <c r="AP410">
        <f t="shared" si="51"/>
        <v>0.13859476911135019</v>
      </c>
      <c r="AQ410">
        <f t="shared" si="51"/>
        <v>4.8998046399115938E-2</v>
      </c>
      <c r="AR410">
        <f t="shared" si="51"/>
        <v>0.15208373695527025</v>
      </c>
      <c r="AS410">
        <f t="shared" si="51"/>
        <v>0.24560375798557163</v>
      </c>
      <c r="AT410">
        <f t="shared" si="51"/>
        <v>0.1322828627548574</v>
      </c>
      <c r="AU410">
        <f t="shared" si="51"/>
        <v>-0.37797490846583615</v>
      </c>
      <c r="AV410">
        <f t="shared" si="51"/>
        <v>3.1833925523712003E-2</v>
      </c>
      <c r="AW410">
        <f t="shared" si="51"/>
        <v>-4.8782041128699077E-2</v>
      </c>
      <c r="AX410">
        <f t="shared" si="51"/>
        <v>3.3285703564678054E-2</v>
      </c>
      <c r="AY410">
        <f t="shared" si="51"/>
        <v>-4.5861073653752998E-2</v>
      </c>
      <c r="AZ410">
        <f t="shared" si="51"/>
        <v>-0.26696433239644668</v>
      </c>
      <c r="BA410">
        <f t="shared" si="51"/>
        <v>3.3833705212817346E-2</v>
      </c>
      <c r="BB410">
        <f t="shared" si="51"/>
        <v>4.8245970476968464E-2</v>
      </c>
      <c r="BC410">
        <f t="shared" si="51"/>
        <v>8.2117225374566519E-2</v>
      </c>
      <c r="BD410">
        <f t="shared" si="51"/>
        <v>-6.9431158448812653E-3</v>
      </c>
    </row>
    <row r="411" spans="1:56" x14ac:dyDescent="0.2">
      <c r="A411" s="2">
        <v>41</v>
      </c>
      <c r="B411">
        <f>CORREL($AP2:$AP365,B2:B365)</f>
        <v>0.101692826009395</v>
      </c>
      <c r="C411">
        <f t="shared" ref="C411:BD411" si="52">CORREL($AP2:$AP365,C2:C365)</f>
        <v>0.22172652021807793</v>
      </c>
      <c r="D411">
        <f t="shared" si="52"/>
        <v>0.15398139602302638</v>
      </c>
      <c r="E411">
        <f t="shared" si="52"/>
        <v>-0.10779608349084889</v>
      </c>
      <c r="F411">
        <f t="shared" si="52"/>
        <v>0.17728807301908536</v>
      </c>
      <c r="G411">
        <f t="shared" si="52"/>
        <v>0.13020320031104618</v>
      </c>
      <c r="H411">
        <f t="shared" si="52"/>
        <v>5.1583130841854473E-2</v>
      </c>
      <c r="I411">
        <f t="shared" si="52"/>
        <v>2.9232516574982222E-2</v>
      </c>
      <c r="J411">
        <f t="shared" si="52"/>
        <v>0.25269716875862869</v>
      </c>
      <c r="K411">
        <f t="shared" si="52"/>
        <v>9.3882772654545879E-2</v>
      </c>
      <c r="L411">
        <f t="shared" si="52"/>
        <v>0.1618549519442132</v>
      </c>
      <c r="M411">
        <f t="shared" si="52"/>
        <v>2.4050607137137421E-2</v>
      </c>
      <c r="N411">
        <f t="shared" si="52"/>
        <v>-4.9194258109299657E-2</v>
      </c>
      <c r="O411">
        <f t="shared" si="52"/>
        <v>5.3717454156949521E-2</v>
      </c>
      <c r="P411">
        <f t="shared" si="52"/>
        <v>0.31581771828027655</v>
      </c>
      <c r="Q411">
        <f t="shared" si="52"/>
        <v>0.25188433934775439</v>
      </c>
      <c r="R411">
        <f t="shared" si="52"/>
        <v>0.4428814204855141</v>
      </c>
      <c r="S411">
        <f t="shared" si="52"/>
        <v>0.10888953447082869</v>
      </c>
      <c r="T411">
        <f t="shared" si="52"/>
        <v>9.0070473807415077E-2</v>
      </c>
      <c r="U411">
        <f t="shared" si="52"/>
        <v>-7.9840194354396835E-2</v>
      </c>
      <c r="V411">
        <f t="shared" si="52"/>
        <v>5.067853564856073E-2</v>
      </c>
      <c r="W411">
        <f t="shared" si="52"/>
        <v>-2.8752077115684251E-2</v>
      </c>
      <c r="X411">
        <f t="shared" si="52"/>
        <v>0.25438778028612619</v>
      </c>
      <c r="Y411">
        <f t="shared" si="52"/>
        <v>9.7994897268399037E-2</v>
      </c>
      <c r="Z411">
        <f t="shared" si="52"/>
        <v>0.19662259900276746</v>
      </c>
      <c r="AA411">
        <f t="shared" si="52"/>
        <v>4.3289222710163645E-2</v>
      </c>
      <c r="AB411">
        <f t="shared" si="52"/>
        <v>0.24377167944160957</v>
      </c>
      <c r="AC411">
        <f t="shared" si="52"/>
        <v>0.20323509169831575</v>
      </c>
      <c r="AD411">
        <f t="shared" si="52"/>
        <v>3.0190750004449353E-2</v>
      </c>
      <c r="AE411">
        <f t="shared" si="52"/>
        <v>9.445774349583165E-2</v>
      </c>
      <c r="AF411">
        <f t="shared" si="52"/>
        <v>6.51028949399622E-2</v>
      </c>
      <c r="AG411">
        <f t="shared" si="52"/>
        <v>9.3229714687623283E-2</v>
      </c>
      <c r="AH411">
        <f t="shared" si="52"/>
        <v>1.3364145547647983E-3</v>
      </c>
      <c r="AI411">
        <f t="shared" si="52"/>
        <v>0.17394593914361864</v>
      </c>
      <c r="AJ411">
        <f t="shared" si="52"/>
        <v>8.0960319908975467E-2</v>
      </c>
      <c r="AK411">
        <f t="shared" si="52"/>
        <v>-0.11308863304711833</v>
      </c>
      <c r="AL411">
        <f t="shared" si="52"/>
        <v>0.12849906412668913</v>
      </c>
      <c r="AM411">
        <f t="shared" si="52"/>
        <v>-8.8454202967910345E-2</v>
      </c>
      <c r="AN411">
        <f t="shared" si="52"/>
        <v>-0.1010183881243288</v>
      </c>
      <c r="AO411">
        <f t="shared" si="52"/>
        <v>0.13859476911135019</v>
      </c>
      <c r="AP411">
        <f t="shared" si="52"/>
        <v>0.99999999999999989</v>
      </c>
      <c r="AQ411">
        <f t="shared" si="52"/>
        <v>0.2110179150593402</v>
      </c>
      <c r="AR411">
        <f t="shared" si="52"/>
        <v>0.18326882230381264</v>
      </c>
      <c r="AS411">
        <f t="shared" si="52"/>
        <v>0.16422369365859341</v>
      </c>
      <c r="AT411">
        <f t="shared" si="52"/>
        <v>0.13822072187187315</v>
      </c>
      <c r="AU411">
        <f t="shared" si="52"/>
        <v>5.8382611529293624E-2</v>
      </c>
      <c r="AV411">
        <f t="shared" si="52"/>
        <v>3.9257119300897661E-2</v>
      </c>
      <c r="AW411">
        <f t="shared" si="52"/>
        <v>0.17018029159136172</v>
      </c>
      <c r="AX411">
        <f t="shared" si="52"/>
        <v>6.0978919361480283E-2</v>
      </c>
      <c r="AY411">
        <f t="shared" si="52"/>
        <v>-4.7494856025963497E-2</v>
      </c>
      <c r="AZ411">
        <f t="shared" si="52"/>
        <v>-5.8809415366903303E-2</v>
      </c>
      <c r="BA411">
        <f t="shared" si="52"/>
        <v>5.5597574179627645E-3</v>
      </c>
      <c r="BB411">
        <f t="shared" si="52"/>
        <v>0.3037538558532849</v>
      </c>
      <c r="BC411">
        <f t="shared" si="52"/>
        <v>0.18078741467372075</v>
      </c>
      <c r="BD411">
        <f t="shared" si="52"/>
        <v>4.7886718427591783E-2</v>
      </c>
    </row>
    <row r="412" spans="1:56" x14ac:dyDescent="0.2">
      <c r="A412" s="2">
        <v>42</v>
      </c>
      <c r="B412">
        <f>CORREL($AQ2:$AQ365,B2:B365)</f>
        <v>4.5270627728773036E-2</v>
      </c>
      <c r="C412">
        <f t="shared" ref="C412:BD412" si="53">CORREL($AQ2:$AQ365,C2:C365)</f>
        <v>0.17436857987125765</v>
      </c>
      <c r="D412">
        <f t="shared" si="53"/>
        <v>0.46488577294543465</v>
      </c>
      <c r="E412">
        <f t="shared" si="53"/>
        <v>-3.8129281859463668E-2</v>
      </c>
      <c r="F412">
        <f t="shared" si="53"/>
        <v>1.9942490082561746E-4</v>
      </c>
      <c r="G412">
        <f t="shared" si="53"/>
        <v>0.10383289815026148</v>
      </c>
      <c r="H412">
        <f t="shared" si="53"/>
        <v>-4.1303775087966586E-2</v>
      </c>
      <c r="I412">
        <f t="shared" si="53"/>
        <v>9.1420050755160104E-2</v>
      </c>
      <c r="J412">
        <f t="shared" si="53"/>
        <v>0.22892948116851111</v>
      </c>
      <c r="K412">
        <f t="shared" si="53"/>
        <v>0.35222629422180818</v>
      </c>
      <c r="L412">
        <f t="shared" si="53"/>
        <v>0.13076180893117101</v>
      </c>
      <c r="M412">
        <f t="shared" si="53"/>
        <v>3.3042346265276766E-2</v>
      </c>
      <c r="N412">
        <f t="shared" si="53"/>
        <v>-1.3723616518822666E-2</v>
      </c>
      <c r="O412">
        <f t="shared" si="53"/>
        <v>5.8713517111147896E-2</v>
      </c>
      <c r="P412">
        <f t="shared" si="53"/>
        <v>0.1909922287089201</v>
      </c>
      <c r="Q412">
        <f t="shared" si="53"/>
        <v>0.23128775357211859</v>
      </c>
      <c r="R412">
        <f t="shared" si="53"/>
        <v>0.25474522768364294</v>
      </c>
      <c r="S412">
        <f t="shared" si="53"/>
        <v>0.45054090734892716</v>
      </c>
      <c r="T412">
        <f t="shared" si="53"/>
        <v>0.19660416534907241</v>
      </c>
      <c r="U412">
        <f t="shared" si="53"/>
        <v>5.3465337220559413E-2</v>
      </c>
      <c r="V412">
        <f t="shared" si="53"/>
        <v>0.22878678859672827</v>
      </c>
      <c r="W412">
        <f t="shared" si="53"/>
        <v>0.18303328954863904</v>
      </c>
      <c r="X412">
        <f t="shared" si="53"/>
        <v>0.21988780706721778</v>
      </c>
      <c r="Y412">
        <f t="shared" si="53"/>
        <v>7.3542514598899447E-2</v>
      </c>
      <c r="Z412">
        <f t="shared" si="53"/>
        <v>8.641362743977557E-2</v>
      </c>
      <c r="AA412">
        <f t="shared" si="53"/>
        <v>0.26605795359856499</v>
      </c>
      <c r="AB412">
        <f t="shared" si="53"/>
        <v>-0.15163372293487293</v>
      </c>
      <c r="AC412">
        <f t="shared" si="53"/>
        <v>0.18562406381600383</v>
      </c>
      <c r="AD412">
        <f t="shared" si="53"/>
        <v>0.1294685817718762</v>
      </c>
      <c r="AE412">
        <f t="shared" si="53"/>
        <v>0.14234720207094725</v>
      </c>
      <c r="AF412">
        <f t="shared" si="53"/>
        <v>0.16331320244406894</v>
      </c>
      <c r="AG412">
        <f t="shared" si="53"/>
        <v>3.554097987856903E-2</v>
      </c>
      <c r="AH412">
        <f t="shared" si="53"/>
        <v>4.4080375170923981E-2</v>
      </c>
      <c r="AI412">
        <f t="shared" si="53"/>
        <v>0.29423345370596288</v>
      </c>
      <c r="AJ412">
        <f t="shared" si="53"/>
        <v>0.50262193396320443</v>
      </c>
      <c r="AK412">
        <f t="shared" si="53"/>
        <v>0.11391515756839295</v>
      </c>
      <c r="AL412">
        <f t="shared" si="53"/>
        <v>7.4570742426250183E-2</v>
      </c>
      <c r="AM412">
        <f t="shared" si="53"/>
        <v>8.6613326929259951E-2</v>
      </c>
      <c r="AN412">
        <f t="shared" si="53"/>
        <v>8.6633787216491315E-2</v>
      </c>
      <c r="AO412">
        <f t="shared" si="53"/>
        <v>4.8998046399115938E-2</v>
      </c>
      <c r="AP412">
        <f t="shared" si="53"/>
        <v>0.2110179150593402</v>
      </c>
      <c r="AQ412">
        <f t="shared" si="53"/>
        <v>0.99999999999999989</v>
      </c>
      <c r="AR412">
        <f t="shared" si="53"/>
        <v>0.20288846489359619</v>
      </c>
      <c r="AS412">
        <f t="shared" si="53"/>
        <v>0.18551152102747034</v>
      </c>
      <c r="AT412">
        <f t="shared" si="53"/>
        <v>0.39600010924909523</v>
      </c>
      <c r="AU412">
        <f t="shared" si="53"/>
        <v>-3.51271131980617E-2</v>
      </c>
      <c r="AV412">
        <f t="shared" si="53"/>
        <v>5.4713452218365558E-2</v>
      </c>
      <c r="AW412">
        <f t="shared" si="53"/>
        <v>0.4396845933910401</v>
      </c>
      <c r="AX412">
        <f t="shared" si="53"/>
        <v>8.9368298434765195E-2</v>
      </c>
      <c r="AY412">
        <f t="shared" si="53"/>
        <v>0.12679401011647998</v>
      </c>
      <c r="AZ412">
        <f t="shared" si="53"/>
        <v>-1.1173931596346299E-2</v>
      </c>
      <c r="BA412">
        <f t="shared" si="53"/>
        <v>-5.6093765980080963E-3</v>
      </c>
      <c r="BB412">
        <f t="shared" si="53"/>
        <v>0.43007989960462362</v>
      </c>
      <c r="BC412">
        <f t="shared" si="53"/>
        <v>0.16797461560561247</v>
      </c>
      <c r="BD412">
        <f t="shared" si="53"/>
        <v>0.59708377240891308</v>
      </c>
    </row>
    <row r="413" spans="1:56" x14ac:dyDescent="0.2">
      <c r="A413" s="2">
        <v>43</v>
      </c>
      <c r="B413">
        <f>CORREL($AR2:$AR365,B2:B365)</f>
        <v>0.2035528880394708</v>
      </c>
      <c r="C413">
        <f t="shared" ref="C413:BD413" si="54">CORREL($AR2:$AR365,C2:C365)</f>
        <v>0.29255648477423696</v>
      </c>
      <c r="D413">
        <f t="shared" si="54"/>
        <v>0.48037177052858315</v>
      </c>
      <c r="E413">
        <f t="shared" si="54"/>
        <v>-1.5077864295689034E-2</v>
      </c>
      <c r="F413">
        <f t="shared" si="54"/>
        <v>0.12466523160670152</v>
      </c>
      <c r="G413">
        <f t="shared" si="54"/>
        <v>0.10876497763086175</v>
      </c>
      <c r="H413">
        <f t="shared" si="54"/>
        <v>-5.9492150994043327E-2</v>
      </c>
      <c r="I413">
        <f t="shared" si="54"/>
        <v>0.17795665995075141</v>
      </c>
      <c r="J413">
        <f t="shared" si="54"/>
        <v>0.44321645640715129</v>
      </c>
      <c r="K413">
        <f t="shared" si="54"/>
        <v>0.34780528805638244</v>
      </c>
      <c r="L413">
        <f t="shared" si="54"/>
        <v>0.27491586756379038</v>
      </c>
      <c r="M413">
        <f t="shared" si="54"/>
        <v>-3.9305129590869901E-3</v>
      </c>
      <c r="N413">
        <f t="shared" si="54"/>
        <v>1.2303504790885838E-2</v>
      </c>
      <c r="O413">
        <f t="shared" si="54"/>
        <v>6.3276450378152382E-2</v>
      </c>
      <c r="P413">
        <f t="shared" si="54"/>
        <v>0.43512683335285901</v>
      </c>
      <c r="Q413">
        <f t="shared" si="54"/>
        <v>0.33444867221560254</v>
      </c>
      <c r="R413">
        <f t="shared" si="54"/>
        <v>0.44072282944080732</v>
      </c>
      <c r="S413">
        <f t="shared" si="54"/>
        <v>0.40544321252162085</v>
      </c>
      <c r="T413">
        <f t="shared" si="54"/>
        <v>0.35272563031257975</v>
      </c>
      <c r="U413">
        <f t="shared" si="54"/>
        <v>0.12763674645572581</v>
      </c>
      <c r="V413">
        <f t="shared" si="54"/>
        <v>0.3596463325481018</v>
      </c>
      <c r="W413">
        <f t="shared" si="54"/>
        <v>0.25075842305729501</v>
      </c>
      <c r="X413">
        <f t="shared" si="54"/>
        <v>0.32432436962934358</v>
      </c>
      <c r="Y413">
        <f t="shared" si="54"/>
        <v>0.16939476600155848</v>
      </c>
      <c r="Z413">
        <f t="shared" si="54"/>
        <v>0.30662831575551558</v>
      </c>
      <c r="AA413">
        <f t="shared" si="54"/>
        <v>0.37438343215468556</v>
      </c>
      <c r="AB413">
        <f t="shared" si="54"/>
        <v>-0.18248968062425419</v>
      </c>
      <c r="AC413">
        <f t="shared" si="54"/>
        <v>0.24732961712779475</v>
      </c>
      <c r="AD413">
        <f t="shared" si="54"/>
        <v>-1.4066796184279933E-2</v>
      </c>
      <c r="AE413">
        <f t="shared" si="54"/>
        <v>0.32894558256096146</v>
      </c>
      <c r="AF413">
        <f t="shared" si="54"/>
        <v>0.19510440542544541</v>
      </c>
      <c r="AG413">
        <f t="shared" si="54"/>
        <v>0.22727201734572811</v>
      </c>
      <c r="AH413">
        <f t="shared" si="54"/>
        <v>0.14534875698297514</v>
      </c>
      <c r="AI413">
        <f t="shared" si="54"/>
        <v>0.23395304285566015</v>
      </c>
      <c r="AJ413">
        <f t="shared" si="54"/>
        <v>0.47822343901670944</v>
      </c>
      <c r="AK413">
        <f t="shared" si="54"/>
        <v>0.18258860151931239</v>
      </c>
      <c r="AL413">
        <f t="shared" si="54"/>
        <v>0.19186753222841693</v>
      </c>
      <c r="AM413">
        <f t="shared" si="54"/>
        <v>0.10428212391227606</v>
      </c>
      <c r="AN413">
        <f t="shared" si="54"/>
        <v>0.11304329173514721</v>
      </c>
      <c r="AO413">
        <f t="shared" si="54"/>
        <v>0.15208373695527025</v>
      </c>
      <c r="AP413">
        <f t="shared" si="54"/>
        <v>0.18326882230381264</v>
      </c>
      <c r="AQ413">
        <f t="shared" si="54"/>
        <v>0.20288846489359619</v>
      </c>
      <c r="AR413">
        <f t="shared" si="54"/>
        <v>0.99999999999999989</v>
      </c>
      <c r="AS413">
        <f t="shared" si="54"/>
        <v>0.37803819626470986</v>
      </c>
      <c r="AT413">
        <f t="shared" si="54"/>
        <v>0.41215722154153106</v>
      </c>
      <c r="AU413">
        <f t="shared" si="54"/>
        <v>8.386162240093493E-4</v>
      </c>
      <c r="AV413">
        <f t="shared" si="54"/>
        <v>0.12133071176337164</v>
      </c>
      <c r="AW413">
        <f t="shared" si="54"/>
        <v>0.46396570589800085</v>
      </c>
      <c r="AX413">
        <f t="shared" si="54"/>
        <v>0.17461413982928115</v>
      </c>
      <c r="AY413">
        <f t="shared" si="54"/>
        <v>-3.9677158126662296E-2</v>
      </c>
      <c r="AZ413">
        <f t="shared" si="54"/>
        <v>-5.5237972372682097E-2</v>
      </c>
      <c r="BA413">
        <f t="shared" si="54"/>
        <v>5.1171303020387804E-2</v>
      </c>
      <c r="BB413">
        <f t="shared" si="54"/>
        <v>0.49417519631265555</v>
      </c>
      <c r="BC413">
        <f t="shared" si="54"/>
        <v>0.30848156002578003</v>
      </c>
      <c r="BD413">
        <f t="shared" si="54"/>
        <v>0.46593596263501769</v>
      </c>
    </row>
    <row r="414" spans="1:56" x14ac:dyDescent="0.2">
      <c r="A414" s="2">
        <v>44</v>
      </c>
      <c r="B414">
        <f>CORREL($AS2:$AS365,B2:B365)</f>
        <v>0.37779815801937328</v>
      </c>
      <c r="C414">
        <f t="shared" ref="C414:BD414" si="55">CORREL($AS2:$AS365,C2:C365)</f>
        <v>0.38765338432996305</v>
      </c>
      <c r="D414">
        <f t="shared" si="55"/>
        <v>0.42256581025959372</v>
      </c>
      <c r="E414">
        <f t="shared" si="55"/>
        <v>0.18798004291142209</v>
      </c>
      <c r="F414">
        <f t="shared" si="55"/>
        <v>9.2887602472565098E-2</v>
      </c>
      <c r="G414">
        <f t="shared" si="55"/>
        <v>0.1279917104118917</v>
      </c>
      <c r="H414">
        <f t="shared" si="55"/>
        <v>-2.0949302275837908E-2</v>
      </c>
      <c r="I414">
        <f t="shared" si="55"/>
        <v>0.11689012017066856</v>
      </c>
      <c r="J414">
        <f t="shared" si="55"/>
        <v>0.44592569931258952</v>
      </c>
      <c r="K414">
        <f t="shared" si="55"/>
        <v>0.42712808686266934</v>
      </c>
      <c r="L414">
        <f t="shared" si="55"/>
        <v>0.21146257758181766</v>
      </c>
      <c r="M414">
        <f t="shared" si="55"/>
        <v>1.9215184978680442E-2</v>
      </c>
      <c r="N414">
        <f t="shared" si="55"/>
        <v>3.9121133378357507E-2</v>
      </c>
      <c r="O414">
        <f t="shared" si="55"/>
        <v>6.9563243583916487E-3</v>
      </c>
      <c r="P414">
        <f t="shared" si="55"/>
        <v>0.52663318979949447</v>
      </c>
      <c r="Q414">
        <f t="shared" si="55"/>
        <v>0.28690034551210813</v>
      </c>
      <c r="R414">
        <f t="shared" si="55"/>
        <v>0.4058348403113084</v>
      </c>
      <c r="S414">
        <f t="shared" si="55"/>
        <v>0.44461908635164771</v>
      </c>
      <c r="T414">
        <f t="shared" si="55"/>
        <v>0.45395143479686123</v>
      </c>
      <c r="U414">
        <f t="shared" si="55"/>
        <v>9.6550307668038265E-2</v>
      </c>
      <c r="V414">
        <f t="shared" si="55"/>
        <v>0.57120035127488988</v>
      </c>
      <c r="W414">
        <f t="shared" si="55"/>
        <v>0.40800490742768802</v>
      </c>
      <c r="X414">
        <f t="shared" si="55"/>
        <v>0.20396367974713661</v>
      </c>
      <c r="Y414">
        <f t="shared" si="55"/>
        <v>0.36478156330554024</v>
      </c>
      <c r="Z414">
        <f t="shared" si="55"/>
        <v>0.31958744106752845</v>
      </c>
      <c r="AA414">
        <f t="shared" si="55"/>
        <v>0.54911589078905565</v>
      </c>
      <c r="AB414">
        <f t="shared" si="55"/>
        <v>-0.11728984400686875</v>
      </c>
      <c r="AC414">
        <f t="shared" si="55"/>
        <v>0.36781210760539951</v>
      </c>
      <c r="AD414">
        <f t="shared" si="55"/>
        <v>0.1573008163097625</v>
      </c>
      <c r="AE414">
        <f t="shared" si="55"/>
        <v>0.27757238846455606</v>
      </c>
      <c r="AF414">
        <f t="shared" si="55"/>
        <v>0.27897315037555187</v>
      </c>
      <c r="AG414">
        <f t="shared" si="55"/>
        <v>0.35065939689066528</v>
      </c>
      <c r="AH414">
        <f t="shared" si="55"/>
        <v>0.24507506592323675</v>
      </c>
      <c r="AI414">
        <f t="shared" si="55"/>
        <v>0.20813293720747131</v>
      </c>
      <c r="AJ414">
        <f t="shared" si="55"/>
        <v>0.47384651274847256</v>
      </c>
      <c r="AK414">
        <f t="shared" si="55"/>
        <v>0.18725771232637231</v>
      </c>
      <c r="AL414">
        <f t="shared" si="55"/>
        <v>0.32022477755434131</v>
      </c>
      <c r="AM414">
        <f t="shared" si="55"/>
        <v>0.29576129546672786</v>
      </c>
      <c r="AN414">
        <f t="shared" si="55"/>
        <v>0.31224594410720569</v>
      </c>
      <c r="AO414">
        <f t="shared" si="55"/>
        <v>0.24560375798557163</v>
      </c>
      <c r="AP414">
        <f t="shared" si="55"/>
        <v>0.16422369365859341</v>
      </c>
      <c r="AQ414">
        <f t="shared" si="55"/>
        <v>0.18551152102747034</v>
      </c>
      <c r="AR414">
        <f t="shared" si="55"/>
        <v>0.37803819626470986</v>
      </c>
      <c r="AS414">
        <f t="shared" si="55"/>
        <v>0.99999999999999978</v>
      </c>
      <c r="AT414">
        <f t="shared" si="55"/>
        <v>0.44359511926569822</v>
      </c>
      <c r="AU414">
        <f t="shared" si="55"/>
        <v>3.3485737044021836E-2</v>
      </c>
      <c r="AV414">
        <f t="shared" si="55"/>
        <v>0.1082756718238249</v>
      </c>
      <c r="AW414">
        <f t="shared" si="55"/>
        <v>0.45064657068307484</v>
      </c>
      <c r="AX414">
        <f t="shared" si="55"/>
        <v>0.12010702534354327</v>
      </c>
      <c r="AY414">
        <f t="shared" si="55"/>
        <v>-5.7270512793812636E-2</v>
      </c>
      <c r="AZ414">
        <f t="shared" si="55"/>
        <v>-1.8547289427182831E-3</v>
      </c>
      <c r="BA414">
        <f t="shared" si="55"/>
        <v>2.0227697996006259E-2</v>
      </c>
      <c r="BB414">
        <f t="shared" si="55"/>
        <v>0.53091895474960593</v>
      </c>
      <c r="BC414">
        <f t="shared" si="55"/>
        <v>0.37053636999690165</v>
      </c>
      <c r="BD414">
        <f t="shared" si="55"/>
        <v>0.57183654424697417</v>
      </c>
    </row>
    <row r="415" spans="1:56" x14ac:dyDescent="0.2">
      <c r="A415" s="2">
        <v>45</v>
      </c>
      <c r="B415">
        <f>CORREL($AT2:$AT365,B2:B365)</f>
        <v>0.41549115586141844</v>
      </c>
      <c r="C415">
        <f t="shared" ref="C415:BD415" si="56">CORREL($AT2:$AT365,C2:C365)</f>
        <v>0.4621397807267803</v>
      </c>
      <c r="D415">
        <f t="shared" si="56"/>
        <v>0.61088361101821553</v>
      </c>
      <c r="E415">
        <f t="shared" si="56"/>
        <v>9.655048262852442E-2</v>
      </c>
      <c r="F415">
        <f t="shared" si="56"/>
        <v>3.4579038363027149E-2</v>
      </c>
      <c r="G415">
        <f t="shared" si="56"/>
        <v>0.18877925788767511</v>
      </c>
      <c r="H415">
        <f t="shared" si="56"/>
        <v>9.3754539700744266E-2</v>
      </c>
      <c r="I415">
        <f t="shared" si="56"/>
        <v>0.18844780123333166</v>
      </c>
      <c r="J415">
        <f t="shared" si="56"/>
        <v>0.51056114602676839</v>
      </c>
      <c r="K415">
        <f t="shared" si="56"/>
        <v>0.31111648760439342</v>
      </c>
      <c r="L415">
        <f t="shared" si="56"/>
        <v>0.31645105783311489</v>
      </c>
      <c r="M415">
        <f t="shared" si="56"/>
        <v>0.13222179093843225</v>
      </c>
      <c r="N415">
        <f t="shared" si="56"/>
        <v>7.3958475840640289E-2</v>
      </c>
      <c r="O415">
        <f t="shared" si="56"/>
        <v>5.1411647651852993E-2</v>
      </c>
      <c r="P415">
        <f t="shared" si="56"/>
        <v>0.4954579673099832</v>
      </c>
      <c r="Q415">
        <f t="shared" si="56"/>
        <v>0.32442248056133083</v>
      </c>
      <c r="R415">
        <f t="shared" si="56"/>
        <v>0.38765961497382539</v>
      </c>
      <c r="S415">
        <f t="shared" si="56"/>
        <v>0.50466717953864226</v>
      </c>
      <c r="T415">
        <f t="shared" si="56"/>
        <v>0.48700429974432657</v>
      </c>
      <c r="U415">
        <f t="shared" si="56"/>
        <v>0.23815642253510436</v>
      </c>
      <c r="V415">
        <f t="shared" si="56"/>
        <v>0.52581382754030059</v>
      </c>
      <c r="W415">
        <f t="shared" si="56"/>
        <v>0.33325253699991053</v>
      </c>
      <c r="X415">
        <f t="shared" si="56"/>
        <v>0.28567337799085363</v>
      </c>
      <c r="Y415">
        <f t="shared" si="56"/>
        <v>0.42045704243085191</v>
      </c>
      <c r="Z415">
        <f t="shared" si="56"/>
        <v>0.36705876434205903</v>
      </c>
      <c r="AA415">
        <f t="shared" si="56"/>
        <v>0.53358288942915488</v>
      </c>
      <c r="AB415">
        <f t="shared" si="56"/>
        <v>-0.12819238471574687</v>
      </c>
      <c r="AC415">
        <f t="shared" si="56"/>
        <v>0.3897055414482854</v>
      </c>
      <c r="AD415">
        <f t="shared" si="56"/>
        <v>0.16798359849890887</v>
      </c>
      <c r="AE415">
        <f t="shared" si="56"/>
        <v>0.22696656401408141</v>
      </c>
      <c r="AF415">
        <f t="shared" si="56"/>
        <v>0.51214610064055921</v>
      </c>
      <c r="AG415">
        <f t="shared" si="56"/>
        <v>0.22714912392986431</v>
      </c>
      <c r="AH415">
        <f t="shared" si="56"/>
        <v>0.34644066696241715</v>
      </c>
      <c r="AI415">
        <f t="shared" si="56"/>
        <v>0.35114578473741925</v>
      </c>
      <c r="AJ415">
        <f t="shared" si="56"/>
        <v>0.53217421956021616</v>
      </c>
      <c r="AK415">
        <f t="shared" si="56"/>
        <v>0.32482144535223806</v>
      </c>
      <c r="AL415">
        <f t="shared" si="56"/>
        <v>0.17487829964833165</v>
      </c>
      <c r="AM415">
        <f t="shared" si="56"/>
        <v>0.26673630592323139</v>
      </c>
      <c r="AN415">
        <f t="shared" si="56"/>
        <v>0.26349045316860153</v>
      </c>
      <c r="AO415">
        <f t="shared" si="56"/>
        <v>0.1322828627548574</v>
      </c>
      <c r="AP415">
        <f t="shared" si="56"/>
        <v>0.13822072187187315</v>
      </c>
      <c r="AQ415">
        <f t="shared" si="56"/>
        <v>0.39600010924909523</v>
      </c>
      <c r="AR415">
        <f t="shared" si="56"/>
        <v>0.41215722154153106</v>
      </c>
      <c r="AS415">
        <f t="shared" si="56"/>
        <v>0.44359511926569822</v>
      </c>
      <c r="AT415">
        <f t="shared" si="56"/>
        <v>1</v>
      </c>
      <c r="AU415">
        <f t="shared" si="56"/>
        <v>-3.2513697591100454E-2</v>
      </c>
      <c r="AV415">
        <f t="shared" si="56"/>
        <v>0.12341791924889824</v>
      </c>
      <c r="AW415">
        <f t="shared" si="56"/>
        <v>0.4734745203825797</v>
      </c>
      <c r="AX415">
        <f t="shared" si="56"/>
        <v>0.18765476693392519</v>
      </c>
      <c r="AY415">
        <f t="shared" si="56"/>
        <v>-0.10104919703140482</v>
      </c>
      <c r="AZ415">
        <f t="shared" si="56"/>
        <v>-9.9142656811306268E-2</v>
      </c>
      <c r="BA415">
        <f t="shared" si="56"/>
        <v>-2.9647273777140874E-2</v>
      </c>
      <c r="BB415">
        <f t="shared" si="56"/>
        <v>0.50189776393264118</v>
      </c>
      <c r="BC415">
        <f t="shared" si="56"/>
        <v>0.43703172393608258</v>
      </c>
      <c r="BD415">
        <f t="shared" si="56"/>
        <v>0.64321706120307165</v>
      </c>
    </row>
    <row r="416" spans="1:56" x14ac:dyDescent="0.2">
      <c r="A416" s="2">
        <v>46</v>
      </c>
      <c r="B416">
        <f>CORREL($AU2:$AU365,B2:B365)</f>
        <v>0.21393574966267453</v>
      </c>
      <c r="C416">
        <f t="shared" ref="C416:BD416" si="57">CORREL($AU2:$AU365,C2:C365)</f>
        <v>1.6388703654081144E-2</v>
      </c>
      <c r="D416">
        <f t="shared" si="57"/>
        <v>-2.1532702681949185E-2</v>
      </c>
      <c r="E416">
        <f t="shared" si="57"/>
        <v>0.14042961552550642</v>
      </c>
      <c r="F416">
        <f t="shared" si="57"/>
        <v>1.6198595050636356E-3</v>
      </c>
      <c r="G416">
        <f t="shared" si="57"/>
        <v>-5.9269077585259497E-2</v>
      </c>
      <c r="H416">
        <f t="shared" si="57"/>
        <v>3.4503058818325126E-2</v>
      </c>
      <c r="I416">
        <f t="shared" si="57"/>
        <v>7.4053618594710742E-3</v>
      </c>
      <c r="J416">
        <f t="shared" si="57"/>
        <v>6.2103796148569946E-3</v>
      </c>
      <c r="K416">
        <f t="shared" si="57"/>
        <v>0.254303997138699</v>
      </c>
      <c r="L416">
        <f t="shared" si="57"/>
        <v>9.7194409006244084E-2</v>
      </c>
      <c r="M416">
        <f t="shared" si="57"/>
        <v>-3.3541742897574452E-2</v>
      </c>
      <c r="N416">
        <f t="shared" si="57"/>
        <v>5.1017007412769863E-2</v>
      </c>
      <c r="O416">
        <f t="shared" si="57"/>
        <v>-1.8011497267701064E-2</v>
      </c>
      <c r="P416">
        <f t="shared" si="57"/>
        <v>5.1731784496877396E-2</v>
      </c>
      <c r="Q416">
        <f t="shared" si="57"/>
        <v>0.16279461624440691</v>
      </c>
      <c r="R416">
        <f t="shared" si="57"/>
        <v>6.0691840036725515E-2</v>
      </c>
      <c r="S416">
        <f t="shared" si="57"/>
        <v>0.26929562482325647</v>
      </c>
      <c r="T416">
        <f t="shared" si="57"/>
        <v>1.1830655879426282E-2</v>
      </c>
      <c r="U416">
        <f t="shared" si="57"/>
        <v>2.7663344915041986E-2</v>
      </c>
      <c r="V416">
        <f t="shared" si="57"/>
        <v>7.5881776866163889E-2</v>
      </c>
      <c r="W416">
        <f t="shared" si="57"/>
        <v>4.2837868941450405E-2</v>
      </c>
      <c r="X416">
        <f t="shared" si="57"/>
        <v>5.2611515815977138E-2</v>
      </c>
      <c r="Y416">
        <f t="shared" si="57"/>
        <v>0.11219223713229624</v>
      </c>
      <c r="Z416">
        <f t="shared" si="57"/>
        <v>8.1077306030903962E-2</v>
      </c>
      <c r="AA416">
        <f t="shared" si="57"/>
        <v>5.3888204710535105E-2</v>
      </c>
      <c r="AB416">
        <f t="shared" si="57"/>
        <v>-0.21094910028065175</v>
      </c>
      <c r="AC416">
        <f t="shared" si="57"/>
        <v>7.594468950738513E-2</v>
      </c>
      <c r="AD416">
        <f t="shared" si="57"/>
        <v>-1.5039102637796882E-2</v>
      </c>
      <c r="AE416">
        <f t="shared" si="57"/>
        <v>1.5919968938780477E-2</v>
      </c>
      <c r="AF416">
        <f t="shared" si="57"/>
        <v>-3.5189328522430625E-2</v>
      </c>
      <c r="AG416">
        <f t="shared" si="57"/>
        <v>4.6006778062340006E-2</v>
      </c>
      <c r="AH416">
        <f t="shared" si="57"/>
        <v>1.1990980253490579E-2</v>
      </c>
      <c r="AI416">
        <f t="shared" si="57"/>
        <v>0.10113670052317081</v>
      </c>
      <c r="AJ416">
        <f t="shared" si="57"/>
        <v>0.16432117193812898</v>
      </c>
      <c r="AK416">
        <f t="shared" si="57"/>
        <v>8.3108599042691411E-2</v>
      </c>
      <c r="AL416">
        <f t="shared" si="57"/>
        <v>4.7112947938774781E-3</v>
      </c>
      <c r="AM416">
        <f t="shared" si="57"/>
        <v>5.8159297123799809E-2</v>
      </c>
      <c r="AN416">
        <f t="shared" si="57"/>
        <v>5.2859152377917606E-2</v>
      </c>
      <c r="AO416">
        <f t="shared" si="57"/>
        <v>-0.37797490846583615</v>
      </c>
      <c r="AP416">
        <f t="shared" si="57"/>
        <v>5.8382611529293624E-2</v>
      </c>
      <c r="AQ416">
        <f t="shared" si="57"/>
        <v>-3.51271131980617E-2</v>
      </c>
      <c r="AR416">
        <f t="shared" si="57"/>
        <v>8.386162240093493E-4</v>
      </c>
      <c r="AS416">
        <f t="shared" si="57"/>
        <v>3.3485737044021836E-2</v>
      </c>
      <c r="AT416">
        <f t="shared" si="57"/>
        <v>-3.2513697591100454E-2</v>
      </c>
      <c r="AU416">
        <f t="shared" si="57"/>
        <v>1</v>
      </c>
      <c r="AV416">
        <f t="shared" si="57"/>
        <v>-5.5448181460035488E-2</v>
      </c>
      <c r="AW416">
        <f t="shared" si="57"/>
        <v>9.601650547730034E-2</v>
      </c>
      <c r="AX416">
        <f t="shared" si="57"/>
        <v>1.1905170740729677E-2</v>
      </c>
      <c r="AY416">
        <f t="shared" si="57"/>
        <v>-0.10845080072270631</v>
      </c>
      <c r="AZ416">
        <f t="shared" si="57"/>
        <v>1.3167517315264506E-2</v>
      </c>
      <c r="BA416">
        <f t="shared" si="57"/>
        <v>-7.6475854634021007E-3</v>
      </c>
      <c r="BB416">
        <f t="shared" si="57"/>
        <v>4.3740106694160757E-2</v>
      </c>
      <c r="BC416">
        <f t="shared" si="57"/>
        <v>-4.1123630163314752E-3</v>
      </c>
      <c r="BD416">
        <f t="shared" si="57"/>
        <v>0.44079959279642345</v>
      </c>
    </row>
    <row r="417" spans="1:56" x14ac:dyDescent="0.2">
      <c r="A417" s="2">
        <v>47</v>
      </c>
      <c r="B417">
        <f>CORREL($AV2:$AV365,B2:B365)</f>
        <v>-9.5519063251125261E-3</v>
      </c>
      <c r="C417">
        <f t="shared" ref="C417:BD417" si="58">CORREL($AV2:$AV365,C2:C365)</f>
        <v>3.6474718268201006E-2</v>
      </c>
      <c r="D417">
        <f t="shared" si="58"/>
        <v>3.0525706617542281E-2</v>
      </c>
      <c r="E417">
        <f t="shared" si="58"/>
        <v>-1.2120795086894787E-2</v>
      </c>
      <c r="F417">
        <f t="shared" si="58"/>
        <v>4.1962804052014573E-2</v>
      </c>
      <c r="G417">
        <f t="shared" si="58"/>
        <v>1.7201882317413993E-2</v>
      </c>
      <c r="H417">
        <f t="shared" si="58"/>
        <v>1.2542727735095807E-2</v>
      </c>
      <c r="I417">
        <f t="shared" si="58"/>
        <v>3.2947903698743737E-2</v>
      </c>
      <c r="J417">
        <f t="shared" si="58"/>
        <v>4.8552389743818307E-2</v>
      </c>
      <c r="K417">
        <f t="shared" si="58"/>
        <v>1.4778303427854503E-2</v>
      </c>
      <c r="L417">
        <f t="shared" si="58"/>
        <v>6.8512704600679736E-2</v>
      </c>
      <c r="M417">
        <f t="shared" si="58"/>
        <v>4.6811330267874152E-2</v>
      </c>
      <c r="N417">
        <f t="shared" si="58"/>
        <v>2.0790214795949714E-2</v>
      </c>
      <c r="O417">
        <f t="shared" si="58"/>
        <v>1.4017964767618745E-2</v>
      </c>
      <c r="P417">
        <f t="shared" si="58"/>
        <v>7.1562523232489517E-2</v>
      </c>
      <c r="Q417">
        <f t="shared" si="58"/>
        <v>9.5015596889285958E-2</v>
      </c>
      <c r="R417">
        <f t="shared" si="58"/>
        <v>-7.6877919191460416E-3</v>
      </c>
      <c r="S417">
        <f t="shared" si="58"/>
        <v>4.1636406328978151E-2</v>
      </c>
      <c r="T417">
        <f t="shared" si="58"/>
        <v>6.2456463804115347E-2</v>
      </c>
      <c r="U417">
        <f t="shared" si="58"/>
        <v>-7.0486899922527102E-2</v>
      </c>
      <c r="V417">
        <f t="shared" si="58"/>
        <v>5.4337955123905129E-2</v>
      </c>
      <c r="W417">
        <f t="shared" si="58"/>
        <v>2.4651682602424865E-2</v>
      </c>
      <c r="X417">
        <f t="shared" si="58"/>
        <v>7.9763189614372593E-2</v>
      </c>
      <c r="Y417">
        <f t="shared" si="58"/>
        <v>7.021312068029531E-2</v>
      </c>
      <c r="Z417">
        <f t="shared" si="58"/>
        <v>1.5908750839236502E-2</v>
      </c>
      <c r="AA417">
        <f t="shared" si="58"/>
        <v>5.9863535795830113E-2</v>
      </c>
      <c r="AB417">
        <f t="shared" si="58"/>
        <v>2.0370427379953177E-2</v>
      </c>
      <c r="AC417">
        <f t="shared" si="58"/>
        <v>5.7283498785304809E-2</v>
      </c>
      <c r="AD417">
        <f t="shared" si="58"/>
        <v>1.1887444415047478E-2</v>
      </c>
      <c r="AE417">
        <f t="shared" si="58"/>
        <v>8.0476099375316773E-2</v>
      </c>
      <c r="AF417">
        <f t="shared" si="58"/>
        <v>-1.878698084930492E-2</v>
      </c>
      <c r="AG417">
        <f t="shared" si="58"/>
        <v>-7.8468260406149622E-4</v>
      </c>
      <c r="AH417">
        <f t="shared" si="58"/>
        <v>-5.0504190864098493E-3</v>
      </c>
      <c r="AI417">
        <f t="shared" si="58"/>
        <v>-6.6792965900869139E-2</v>
      </c>
      <c r="AJ417">
        <f t="shared" si="58"/>
        <v>-3.3126432767299395E-2</v>
      </c>
      <c r="AK417">
        <f t="shared" si="58"/>
        <v>5.0503942993222944E-2</v>
      </c>
      <c r="AL417">
        <f t="shared" si="58"/>
        <v>5.0711379023612224E-2</v>
      </c>
      <c r="AM417">
        <f t="shared" si="58"/>
        <v>3.5492088990771227E-2</v>
      </c>
      <c r="AN417">
        <f t="shared" si="58"/>
        <v>2.4168782804569876E-2</v>
      </c>
      <c r="AO417">
        <f t="shared" si="58"/>
        <v>3.1833925523712003E-2</v>
      </c>
      <c r="AP417">
        <f t="shared" si="58"/>
        <v>3.9257119300897661E-2</v>
      </c>
      <c r="AQ417">
        <f t="shared" si="58"/>
        <v>5.4713452218365558E-2</v>
      </c>
      <c r="AR417">
        <f t="shared" si="58"/>
        <v>0.12133071176337164</v>
      </c>
      <c r="AS417">
        <f t="shared" si="58"/>
        <v>0.1082756718238249</v>
      </c>
      <c r="AT417">
        <f t="shared" si="58"/>
        <v>0.12341791924889824</v>
      </c>
      <c r="AU417">
        <f t="shared" si="58"/>
        <v>-5.5448181460035488E-2</v>
      </c>
      <c r="AV417">
        <f t="shared" si="58"/>
        <v>0.99999999999999989</v>
      </c>
      <c r="AW417">
        <f t="shared" si="58"/>
        <v>5.0162403300688947E-2</v>
      </c>
      <c r="AX417">
        <f t="shared" si="58"/>
        <v>1.3632290725456528E-2</v>
      </c>
      <c r="AY417">
        <f t="shared" si="58"/>
        <v>4.6457251916777936E-2</v>
      </c>
      <c r="AZ417">
        <f t="shared" si="58"/>
        <v>-9.3059686339426965E-3</v>
      </c>
      <c r="BA417">
        <f t="shared" si="58"/>
        <v>8.1496524025182447E-3</v>
      </c>
      <c r="BB417">
        <f t="shared" si="58"/>
        <v>2.0773475977840419E-2</v>
      </c>
      <c r="BC417">
        <f t="shared" si="58"/>
        <v>-6.3890708683958511E-3</v>
      </c>
      <c r="BD417">
        <f t="shared" si="58"/>
        <v>-7.8500135667643647E-2</v>
      </c>
    </row>
    <row r="418" spans="1:56" x14ac:dyDescent="0.2">
      <c r="A418" s="2">
        <v>48</v>
      </c>
      <c r="B418">
        <f>CORREL($AW2:$AW365,B2:B365)</f>
        <v>0.46243271050757684</v>
      </c>
      <c r="C418">
        <f t="shared" ref="C418:BD418" si="59">CORREL($AW2:$AW365,C2:C365)</f>
        <v>0.49066376369184861</v>
      </c>
      <c r="D418">
        <f t="shared" si="59"/>
        <v>0.53363185886650222</v>
      </c>
      <c r="E418">
        <f t="shared" si="59"/>
        <v>8.4617128299869865E-2</v>
      </c>
      <c r="F418">
        <f t="shared" si="59"/>
        <v>5.666526824435076E-2</v>
      </c>
      <c r="G418">
        <f t="shared" si="59"/>
        <v>0.13662669496122617</v>
      </c>
      <c r="H418">
        <f t="shared" si="59"/>
        <v>5.9542673450457568E-3</v>
      </c>
      <c r="I418">
        <f t="shared" si="59"/>
        <v>0.12632918687562536</v>
      </c>
      <c r="J418">
        <f t="shared" si="59"/>
        <v>0.53183707930615121</v>
      </c>
      <c r="K418">
        <f t="shared" si="59"/>
        <v>0.45971449211768889</v>
      </c>
      <c r="L418">
        <f t="shared" si="59"/>
        <v>0.27239673879369269</v>
      </c>
      <c r="M418">
        <f t="shared" si="59"/>
        <v>3.5825534086829737E-2</v>
      </c>
      <c r="N418">
        <f t="shared" si="59"/>
        <v>2.8663510778215971E-2</v>
      </c>
      <c r="O418">
        <f t="shared" si="59"/>
        <v>1.03722203833202E-2</v>
      </c>
      <c r="P418">
        <f t="shared" si="59"/>
        <v>0.48237173762498153</v>
      </c>
      <c r="Q418">
        <f t="shared" si="59"/>
        <v>0.43622579930558653</v>
      </c>
      <c r="R418">
        <f t="shared" si="59"/>
        <v>0.42837044828474463</v>
      </c>
      <c r="S418">
        <f t="shared" si="59"/>
        <v>0.55179443136488437</v>
      </c>
      <c r="T418">
        <f t="shared" si="59"/>
        <v>0.56004905738977961</v>
      </c>
      <c r="U418">
        <f t="shared" si="59"/>
        <v>0.32766735391226809</v>
      </c>
      <c r="V418">
        <f t="shared" si="59"/>
        <v>0.57821846938243415</v>
      </c>
      <c r="W418">
        <f t="shared" si="59"/>
        <v>0.47133256302652127</v>
      </c>
      <c r="X418">
        <f t="shared" si="59"/>
        <v>0.39452677830755473</v>
      </c>
      <c r="Y418">
        <f t="shared" si="59"/>
        <v>0.4875221548577281</v>
      </c>
      <c r="Z418">
        <f t="shared" si="59"/>
        <v>0.39158904850961812</v>
      </c>
      <c r="AA418">
        <f t="shared" si="59"/>
        <v>0.58643409205321217</v>
      </c>
      <c r="AB418">
        <f t="shared" si="59"/>
        <v>-0.1171694722655041</v>
      </c>
      <c r="AC418">
        <f t="shared" si="59"/>
        <v>0.34232615430955693</v>
      </c>
      <c r="AD418">
        <f t="shared" si="59"/>
        <v>0.13733587208986078</v>
      </c>
      <c r="AE418">
        <f t="shared" si="59"/>
        <v>0.36270979785003199</v>
      </c>
      <c r="AF418">
        <f t="shared" si="59"/>
        <v>0.45032623354223728</v>
      </c>
      <c r="AG418">
        <f t="shared" si="59"/>
        <v>0.22805529238694078</v>
      </c>
      <c r="AH418">
        <f t="shared" si="59"/>
        <v>0.30177866365013845</v>
      </c>
      <c r="AI418">
        <f t="shared" si="59"/>
        <v>0.37171126584513159</v>
      </c>
      <c r="AJ418">
        <f t="shared" si="59"/>
        <v>0.37587358230821044</v>
      </c>
      <c r="AK418">
        <f t="shared" si="59"/>
        <v>0.35913112309782447</v>
      </c>
      <c r="AL418">
        <f t="shared" si="59"/>
        <v>0.21847210059299813</v>
      </c>
      <c r="AM418">
        <f t="shared" si="59"/>
        <v>0.29314670537143123</v>
      </c>
      <c r="AN418">
        <f t="shared" si="59"/>
        <v>0.28480342771231526</v>
      </c>
      <c r="AO418">
        <f t="shared" si="59"/>
        <v>-4.8782041128699077E-2</v>
      </c>
      <c r="AP418">
        <f t="shared" si="59"/>
        <v>0.17018029159136172</v>
      </c>
      <c r="AQ418">
        <f t="shared" si="59"/>
        <v>0.4396845933910401</v>
      </c>
      <c r="AR418">
        <f t="shared" si="59"/>
        <v>0.46396570589800085</v>
      </c>
      <c r="AS418">
        <f t="shared" si="59"/>
        <v>0.45064657068307484</v>
      </c>
      <c r="AT418">
        <f t="shared" si="59"/>
        <v>0.4734745203825797</v>
      </c>
      <c r="AU418">
        <f t="shared" si="59"/>
        <v>9.601650547730034E-2</v>
      </c>
      <c r="AV418">
        <f t="shared" si="59"/>
        <v>5.0162403300688947E-2</v>
      </c>
      <c r="AW418">
        <f t="shared" si="59"/>
        <v>1</v>
      </c>
      <c r="AX418">
        <f t="shared" si="59"/>
        <v>0.13566118710531636</v>
      </c>
      <c r="AY418">
        <f t="shared" si="59"/>
        <v>-0.10810223226496732</v>
      </c>
      <c r="AZ418">
        <f t="shared" si="59"/>
        <v>2.6926861741215648E-2</v>
      </c>
      <c r="BA418">
        <f t="shared" si="59"/>
        <v>3.2716155023902846E-3</v>
      </c>
      <c r="BB418">
        <f t="shared" si="59"/>
        <v>0.54723517442751735</v>
      </c>
      <c r="BC418">
        <f t="shared" si="59"/>
        <v>0.45628087444050591</v>
      </c>
      <c r="BD418">
        <f t="shared" si="59"/>
        <v>0.56878079393960446</v>
      </c>
    </row>
    <row r="419" spans="1:56" x14ac:dyDescent="0.2">
      <c r="A419" s="2">
        <v>49</v>
      </c>
      <c r="B419">
        <f>CORREL($AX2:$AX365,B2:B365)</f>
        <v>2.8330161811048898E-2</v>
      </c>
      <c r="C419">
        <f t="shared" ref="C419:BD419" si="60">CORREL($AX2:$AX365,C2:C365)</f>
        <v>0.17016372099805438</v>
      </c>
      <c r="D419">
        <f t="shared" si="60"/>
        <v>6.4028566048286925E-2</v>
      </c>
      <c r="E419">
        <f t="shared" si="60"/>
        <v>8.988345706347798E-3</v>
      </c>
      <c r="F419">
        <f t="shared" si="60"/>
        <v>0.13182421066380604</v>
      </c>
      <c r="G419">
        <f t="shared" si="60"/>
        <v>0.79179937583930193</v>
      </c>
      <c r="H419">
        <f t="shared" si="60"/>
        <v>-1.739974475325589E-3</v>
      </c>
      <c r="I419">
        <f t="shared" si="60"/>
        <v>0.89270520481143933</v>
      </c>
      <c r="J419">
        <f t="shared" si="60"/>
        <v>0.20901616034626339</v>
      </c>
      <c r="K419">
        <f t="shared" si="60"/>
        <v>-3.9764848939609451E-2</v>
      </c>
      <c r="L419">
        <f t="shared" si="60"/>
        <v>0.16801202631682605</v>
      </c>
      <c r="M419">
        <f t="shared" si="60"/>
        <v>0.28846713790176426</v>
      </c>
      <c r="N419">
        <f t="shared" si="60"/>
        <v>3.1504451352632225E-2</v>
      </c>
      <c r="O419">
        <f t="shared" si="60"/>
        <v>0.38942786375185096</v>
      </c>
      <c r="P419">
        <f t="shared" si="60"/>
        <v>0.13022909757442375</v>
      </c>
      <c r="Q419">
        <f t="shared" si="60"/>
        <v>0.13690743804444278</v>
      </c>
      <c r="R419">
        <f t="shared" si="60"/>
        <v>8.6909580632235542E-2</v>
      </c>
      <c r="S419">
        <f t="shared" si="60"/>
        <v>2.8707893649276547E-2</v>
      </c>
      <c r="T419">
        <f t="shared" si="60"/>
        <v>0.13044493676423313</v>
      </c>
      <c r="U419">
        <f t="shared" si="60"/>
        <v>1.8192631191426838E-3</v>
      </c>
      <c r="V419">
        <f t="shared" si="60"/>
        <v>0.15053612764325722</v>
      </c>
      <c r="W419">
        <f t="shared" si="60"/>
        <v>-3.9251268444957972E-2</v>
      </c>
      <c r="X419">
        <f t="shared" si="60"/>
        <v>0.17540359839942921</v>
      </c>
      <c r="Y419">
        <f t="shared" si="60"/>
        <v>2.0404338303170034E-3</v>
      </c>
      <c r="Z419">
        <f t="shared" si="60"/>
        <v>8.8584353459978393E-2</v>
      </c>
      <c r="AA419">
        <f t="shared" si="60"/>
        <v>0.14139252568561614</v>
      </c>
      <c r="AB419">
        <f t="shared" si="60"/>
        <v>5.9170342533292834E-2</v>
      </c>
      <c r="AC419">
        <f t="shared" si="60"/>
        <v>0.20964096584060424</v>
      </c>
      <c r="AD419">
        <f t="shared" si="60"/>
        <v>0.27542995881496163</v>
      </c>
      <c r="AE419">
        <f t="shared" si="60"/>
        <v>0.32476577099901721</v>
      </c>
      <c r="AF419">
        <f t="shared" si="60"/>
        <v>7.7509054695054341E-2</v>
      </c>
      <c r="AG419">
        <f t="shared" si="60"/>
        <v>0.15100675315990847</v>
      </c>
      <c r="AH419">
        <f t="shared" si="60"/>
        <v>6.029168442512888E-3</v>
      </c>
      <c r="AI419">
        <f t="shared" si="60"/>
        <v>0.11781402649443327</v>
      </c>
      <c r="AJ419">
        <f t="shared" si="60"/>
        <v>8.7474376906674089E-2</v>
      </c>
      <c r="AK419">
        <f t="shared" si="60"/>
        <v>0.24826772591359902</v>
      </c>
      <c r="AL419">
        <f t="shared" si="60"/>
        <v>-1.3100442662989303E-2</v>
      </c>
      <c r="AM419">
        <f t="shared" si="60"/>
        <v>-4.1331527671815908E-2</v>
      </c>
      <c r="AN419">
        <f t="shared" si="60"/>
        <v>-4.6949792596927671E-2</v>
      </c>
      <c r="AO419">
        <f t="shared" si="60"/>
        <v>3.3285703564678054E-2</v>
      </c>
      <c r="AP419">
        <f t="shared" si="60"/>
        <v>6.0978919361480283E-2</v>
      </c>
      <c r="AQ419">
        <f t="shared" si="60"/>
        <v>8.9368298434765195E-2</v>
      </c>
      <c r="AR419">
        <f t="shared" si="60"/>
        <v>0.17461413982928115</v>
      </c>
      <c r="AS419">
        <f t="shared" si="60"/>
        <v>0.12010702534354327</v>
      </c>
      <c r="AT419">
        <f t="shared" si="60"/>
        <v>0.18765476693392519</v>
      </c>
      <c r="AU419">
        <f t="shared" si="60"/>
        <v>1.1905170740729677E-2</v>
      </c>
      <c r="AV419">
        <f t="shared" si="60"/>
        <v>1.3632290725456528E-2</v>
      </c>
      <c r="AW419">
        <f t="shared" si="60"/>
        <v>0.13566118710531636</v>
      </c>
      <c r="AX419">
        <f t="shared" si="60"/>
        <v>1.0000000000000002</v>
      </c>
      <c r="AY419">
        <f t="shared" si="60"/>
        <v>9.2167597008924629E-2</v>
      </c>
      <c r="AZ419">
        <f t="shared" si="60"/>
        <v>-4.6375780532225694E-3</v>
      </c>
      <c r="BA419">
        <f t="shared" si="60"/>
        <v>-0.15575095536260944</v>
      </c>
      <c r="BB419">
        <f t="shared" si="60"/>
        <v>0.21699118872791995</v>
      </c>
      <c r="BC419">
        <f t="shared" si="60"/>
        <v>0.12547219272146526</v>
      </c>
      <c r="BD419">
        <f t="shared" si="60"/>
        <v>0.17974134954007989</v>
      </c>
    </row>
    <row r="420" spans="1:56" x14ac:dyDescent="0.2">
      <c r="A420" s="2">
        <v>50</v>
      </c>
      <c r="B420">
        <f>CORREL($AY2:$AY365,B2:B365)</f>
        <v>-0.21200456862700065</v>
      </c>
      <c r="C420">
        <f t="shared" ref="C420:BD420" si="61">CORREL($AY2:$AY365,C2:C365)</f>
        <v>-5.3995172011186567E-2</v>
      </c>
      <c r="D420">
        <f t="shared" si="61"/>
        <v>-0.11652755686076129</v>
      </c>
      <c r="E420">
        <f t="shared" si="61"/>
        <v>-7.2844970405952642E-2</v>
      </c>
      <c r="F420">
        <f t="shared" si="61"/>
        <v>0.13176253971152241</v>
      </c>
      <c r="G420">
        <f t="shared" si="61"/>
        <v>2.8947182157003707E-2</v>
      </c>
      <c r="H420">
        <f t="shared" si="61"/>
        <v>-5.2725829610246362E-2</v>
      </c>
      <c r="I420">
        <f t="shared" si="61"/>
        <v>0.16872990629567905</v>
      </c>
      <c r="J420">
        <f t="shared" si="61"/>
        <v>-3.6889192906619711E-2</v>
      </c>
      <c r="K420">
        <f t="shared" si="61"/>
        <v>-0.1908014084865757</v>
      </c>
      <c r="L420">
        <f t="shared" si="61"/>
        <v>-2.918776258427019E-2</v>
      </c>
      <c r="M420">
        <f t="shared" si="61"/>
        <v>-1.6719446693837681E-2</v>
      </c>
      <c r="N420">
        <f t="shared" si="61"/>
        <v>-3.5352631256334359E-2</v>
      </c>
      <c r="O420">
        <f t="shared" si="61"/>
        <v>-1.5635240104664707E-3</v>
      </c>
      <c r="P420">
        <f t="shared" si="61"/>
        <v>-0.15659916631653567</v>
      </c>
      <c r="Q420">
        <f t="shared" si="61"/>
        <v>-1.7122427605183312E-2</v>
      </c>
      <c r="R420">
        <f t="shared" si="61"/>
        <v>-0.11360565754169294</v>
      </c>
      <c r="S420">
        <f t="shared" si="61"/>
        <v>-0.4265564990818197</v>
      </c>
      <c r="T420">
        <f t="shared" si="61"/>
        <v>3.3406622941183038E-2</v>
      </c>
      <c r="U420">
        <f t="shared" si="61"/>
        <v>-1.9110538219080393E-2</v>
      </c>
      <c r="V420">
        <f t="shared" si="61"/>
        <v>-0.10081454001312391</v>
      </c>
      <c r="W420">
        <f t="shared" si="61"/>
        <v>-8.0411948375406134E-2</v>
      </c>
      <c r="X420">
        <f t="shared" si="61"/>
        <v>6.903103247141446E-3</v>
      </c>
      <c r="Y420">
        <f t="shared" si="61"/>
        <v>-0.13035033722415584</v>
      </c>
      <c r="Z420">
        <f t="shared" si="61"/>
        <v>1.0419507793342369E-2</v>
      </c>
      <c r="AA420">
        <f t="shared" si="61"/>
        <v>-8.7542556177410719E-2</v>
      </c>
      <c r="AB420">
        <f t="shared" si="61"/>
        <v>0.12436254846221104</v>
      </c>
      <c r="AC420">
        <f t="shared" si="61"/>
        <v>-0.10104622632293374</v>
      </c>
      <c r="AD420">
        <f t="shared" si="61"/>
        <v>7.1076504975098584E-2</v>
      </c>
      <c r="AE420">
        <f t="shared" si="61"/>
        <v>6.2988623027267418E-2</v>
      </c>
      <c r="AF420">
        <f t="shared" si="61"/>
        <v>-0.13926819600010765</v>
      </c>
      <c r="AG420">
        <f t="shared" si="61"/>
        <v>-0.10453631710784411</v>
      </c>
      <c r="AH420">
        <f t="shared" si="61"/>
        <v>-8.8587382182169383E-2</v>
      </c>
      <c r="AI420">
        <f t="shared" si="61"/>
        <v>-0.16774529154531495</v>
      </c>
      <c r="AJ420">
        <f t="shared" si="61"/>
        <v>-0.11954127662039063</v>
      </c>
      <c r="AK420">
        <f t="shared" si="61"/>
        <v>-7.0850663825075905E-2</v>
      </c>
      <c r="AL420">
        <f t="shared" si="61"/>
        <v>-9.4984746716574725E-2</v>
      </c>
      <c r="AM420">
        <f t="shared" si="61"/>
        <v>-0.13215066307161596</v>
      </c>
      <c r="AN420">
        <f t="shared" si="61"/>
        <v>-0.13764892030346992</v>
      </c>
      <c r="AO420">
        <f t="shared" si="61"/>
        <v>-4.5861073653752998E-2</v>
      </c>
      <c r="AP420">
        <f t="shared" si="61"/>
        <v>-4.7494856025963497E-2</v>
      </c>
      <c r="AQ420">
        <f t="shared" si="61"/>
        <v>0.12679401011647998</v>
      </c>
      <c r="AR420">
        <f t="shared" si="61"/>
        <v>-3.9677158126662296E-2</v>
      </c>
      <c r="AS420">
        <f t="shared" si="61"/>
        <v>-5.7270512793812636E-2</v>
      </c>
      <c r="AT420">
        <f t="shared" si="61"/>
        <v>-0.10104919703140482</v>
      </c>
      <c r="AU420">
        <f t="shared" si="61"/>
        <v>-0.10845080072270631</v>
      </c>
      <c r="AV420">
        <f t="shared" si="61"/>
        <v>4.6457251916777936E-2</v>
      </c>
      <c r="AW420">
        <f t="shared" si="61"/>
        <v>-0.10810223226496732</v>
      </c>
      <c r="AX420">
        <f t="shared" si="61"/>
        <v>9.2167597008924629E-2</v>
      </c>
      <c r="AY420">
        <f t="shared" si="61"/>
        <v>1</v>
      </c>
      <c r="AZ420">
        <f t="shared" si="61"/>
        <v>6.0162060585609654E-2</v>
      </c>
      <c r="BA420">
        <f t="shared" si="61"/>
        <v>-4.377135950087889E-2</v>
      </c>
      <c r="BB420">
        <f t="shared" si="61"/>
        <v>-2.9800755412136043E-3</v>
      </c>
      <c r="BC420">
        <f t="shared" si="61"/>
        <v>-4.1596310939520077E-2</v>
      </c>
      <c r="BD420">
        <f t="shared" si="61"/>
        <v>-0.43242711804823558</v>
      </c>
    </row>
    <row r="421" spans="1:56" x14ac:dyDescent="0.2">
      <c r="A421" s="2">
        <v>51</v>
      </c>
      <c r="B421">
        <f>CORREL($AZ2:$AZ365,B2:B365)</f>
        <v>1.5775915084577366E-4</v>
      </c>
      <c r="C421">
        <f t="shared" ref="C421:BD421" si="62">CORREL($AZ2:$AZ365,C2:C365)</f>
        <v>1.7951940195020482E-3</v>
      </c>
      <c r="D421">
        <f t="shared" si="62"/>
        <v>-0.10868955470578263</v>
      </c>
      <c r="E421">
        <f t="shared" si="62"/>
        <v>0.14935045242621056</v>
      </c>
      <c r="F421">
        <f t="shared" si="62"/>
        <v>-3.2198944729065967E-2</v>
      </c>
      <c r="G421">
        <f t="shared" si="62"/>
        <v>-4.5721716441005332E-2</v>
      </c>
      <c r="H421">
        <f t="shared" si="62"/>
        <v>3.1332645705442717E-2</v>
      </c>
      <c r="I421">
        <f t="shared" si="62"/>
        <v>-4.5304015338617123E-2</v>
      </c>
      <c r="J421">
        <f t="shared" si="62"/>
        <v>-8.4828265422941834E-2</v>
      </c>
      <c r="K421">
        <f t="shared" si="62"/>
        <v>2.0657005790834074E-2</v>
      </c>
      <c r="L421">
        <f t="shared" si="62"/>
        <v>-4.2350906489923242E-2</v>
      </c>
      <c r="M421">
        <f t="shared" si="62"/>
        <v>-0.11460123757175698</v>
      </c>
      <c r="N421">
        <f t="shared" si="62"/>
        <v>-8.8795102043811816E-2</v>
      </c>
      <c r="O421">
        <f t="shared" si="62"/>
        <v>-1.6253810068152946E-2</v>
      </c>
      <c r="P421">
        <f t="shared" si="62"/>
        <v>1.2885672746948455E-2</v>
      </c>
      <c r="Q421">
        <f t="shared" si="62"/>
        <v>3.9048401924706315E-2</v>
      </c>
      <c r="R421">
        <f t="shared" si="62"/>
        <v>-3.6885696994321741E-3</v>
      </c>
      <c r="S421">
        <f t="shared" si="62"/>
        <v>3.0018432222785506E-2</v>
      </c>
      <c r="T421">
        <f t="shared" si="62"/>
        <v>-1.3179600005078345E-2</v>
      </c>
      <c r="U421">
        <f t="shared" si="62"/>
        <v>-8.1588533937862917E-2</v>
      </c>
      <c r="V421">
        <f t="shared" si="62"/>
        <v>4.787758603262947E-3</v>
      </c>
      <c r="W421">
        <f t="shared" si="62"/>
        <v>-1.0975871428445839E-2</v>
      </c>
      <c r="X421">
        <f t="shared" si="62"/>
        <v>-1.5944466518407138E-2</v>
      </c>
      <c r="Y421">
        <f t="shared" si="62"/>
        <v>2.9656118325322361E-2</v>
      </c>
      <c r="Z421">
        <f t="shared" si="62"/>
        <v>8.7883541738340176E-2</v>
      </c>
      <c r="AA421">
        <f t="shared" si="62"/>
        <v>-7.8522198569002839E-3</v>
      </c>
      <c r="AB421">
        <f t="shared" si="62"/>
        <v>-1.6958894598501497E-2</v>
      </c>
      <c r="AC421">
        <f t="shared" si="62"/>
        <v>2.1317063467841341E-3</v>
      </c>
      <c r="AD421">
        <f t="shared" si="62"/>
        <v>5.746638945396499E-2</v>
      </c>
      <c r="AE421">
        <f t="shared" si="62"/>
        <v>-4.6530969885750971E-2</v>
      </c>
      <c r="AF421">
        <f t="shared" si="62"/>
        <v>-1.6027855433383906E-2</v>
      </c>
      <c r="AG421">
        <f t="shared" si="62"/>
        <v>2.0517282520206851E-2</v>
      </c>
      <c r="AH421">
        <f t="shared" si="62"/>
        <v>8.8997086798783057E-2</v>
      </c>
      <c r="AI421">
        <f t="shared" si="62"/>
        <v>-1.1261900488024969E-2</v>
      </c>
      <c r="AJ421">
        <f t="shared" si="62"/>
        <v>-0.1100365545015468</v>
      </c>
      <c r="AK421">
        <f t="shared" si="62"/>
        <v>2.6301509088865145E-2</v>
      </c>
      <c r="AL421">
        <f t="shared" si="62"/>
        <v>2.4438842790912269E-2</v>
      </c>
      <c r="AM421">
        <f t="shared" si="62"/>
        <v>-4.9339562515325107E-3</v>
      </c>
      <c r="AN421">
        <f t="shared" si="62"/>
        <v>3.02067286954109E-3</v>
      </c>
      <c r="AO421">
        <f t="shared" si="62"/>
        <v>-0.26696433239644668</v>
      </c>
      <c r="AP421">
        <f t="shared" si="62"/>
        <v>-5.8809415366903303E-2</v>
      </c>
      <c r="AQ421">
        <f t="shared" si="62"/>
        <v>-1.1173931596346299E-2</v>
      </c>
      <c r="AR421">
        <f t="shared" si="62"/>
        <v>-5.5237972372682097E-2</v>
      </c>
      <c r="AS421">
        <f t="shared" si="62"/>
        <v>-1.8547289427182831E-3</v>
      </c>
      <c r="AT421">
        <f t="shared" si="62"/>
        <v>-9.9142656811306268E-2</v>
      </c>
      <c r="AU421">
        <f t="shared" si="62"/>
        <v>1.3167517315264506E-2</v>
      </c>
      <c r="AV421">
        <f t="shared" si="62"/>
        <v>-9.3059686339426965E-3</v>
      </c>
      <c r="AW421">
        <f t="shared" si="62"/>
        <v>2.6926861741215648E-2</v>
      </c>
      <c r="AX421">
        <f t="shared" si="62"/>
        <v>-4.6375780532225694E-3</v>
      </c>
      <c r="AY421">
        <f t="shared" si="62"/>
        <v>6.0162060585609654E-2</v>
      </c>
      <c r="AZ421">
        <f t="shared" si="62"/>
        <v>0.99999999999999989</v>
      </c>
      <c r="BA421">
        <f t="shared" si="62"/>
        <v>0.15902598141403498</v>
      </c>
      <c r="BB421">
        <f t="shared" si="62"/>
        <v>-7.9430378171539306E-2</v>
      </c>
      <c r="BC421">
        <f t="shared" si="62"/>
        <v>1.6139351715831082E-2</v>
      </c>
      <c r="BD421">
        <f t="shared" si="62"/>
        <v>-2.2360923045165491E-2</v>
      </c>
    </row>
    <row r="422" spans="1:56" x14ac:dyDescent="0.2">
      <c r="A422" s="2">
        <v>52</v>
      </c>
      <c r="B422">
        <f>CORREL($BA2:$BA365,B2:B365)</f>
        <v>5.5340906227633761E-2</v>
      </c>
      <c r="C422">
        <f t="shared" ref="C422:BD422" si="63">CORREL($BA2:$BA365,C2:C365)</f>
        <v>-9.4007274140304325E-2</v>
      </c>
      <c r="D422">
        <f t="shared" si="63"/>
        <v>7.73084041239148E-4</v>
      </c>
      <c r="E422">
        <f t="shared" si="63"/>
        <v>7.149390413618277E-2</v>
      </c>
      <c r="F422">
        <f t="shared" si="63"/>
        <v>-0.14979574879277954</v>
      </c>
      <c r="G422">
        <f t="shared" si="63"/>
        <v>-0.14051101850336972</v>
      </c>
      <c r="H422">
        <f t="shared" si="63"/>
        <v>-5.164477095391045E-2</v>
      </c>
      <c r="I422">
        <f t="shared" si="63"/>
        <v>-0.18939277883486508</v>
      </c>
      <c r="J422">
        <f t="shared" si="63"/>
        <v>-2.1262956227643723E-2</v>
      </c>
      <c r="K422">
        <f t="shared" si="63"/>
        <v>8.3284892291256817E-3</v>
      </c>
      <c r="L422">
        <f t="shared" si="63"/>
        <v>-1.084414811395483E-2</v>
      </c>
      <c r="M422">
        <f t="shared" si="63"/>
        <v>-8.2259396600969537E-2</v>
      </c>
      <c r="N422">
        <f t="shared" si="63"/>
        <v>-6.5555794648299831E-2</v>
      </c>
      <c r="O422">
        <f t="shared" si="63"/>
        <v>-8.9934892176519107E-2</v>
      </c>
      <c r="P422">
        <f t="shared" si="63"/>
        <v>1.4154774136185783E-2</v>
      </c>
      <c r="Q422">
        <f t="shared" si="63"/>
        <v>8.6162992283837295E-2</v>
      </c>
      <c r="R422">
        <f t="shared" si="63"/>
        <v>1.8193490716593139E-2</v>
      </c>
      <c r="S422">
        <f t="shared" si="63"/>
        <v>4.2429339823004737E-2</v>
      </c>
      <c r="T422">
        <f t="shared" si="63"/>
        <v>-2.1868987251703581E-2</v>
      </c>
      <c r="U422">
        <f t="shared" si="63"/>
        <v>7.0003768315624352E-3</v>
      </c>
      <c r="V422">
        <f t="shared" si="63"/>
        <v>4.6995778722088363E-2</v>
      </c>
      <c r="W422">
        <f t="shared" si="63"/>
        <v>-2.5986967990912622E-2</v>
      </c>
      <c r="X422">
        <f t="shared" si="63"/>
        <v>-7.8618277039546158E-2</v>
      </c>
      <c r="Y422">
        <f t="shared" si="63"/>
        <v>7.1337815132835644E-2</v>
      </c>
      <c r="Z422">
        <f t="shared" si="63"/>
        <v>9.1243607497484683E-2</v>
      </c>
      <c r="AA422">
        <f t="shared" si="63"/>
        <v>4.8609894135300341E-2</v>
      </c>
      <c r="AB422">
        <f t="shared" si="63"/>
        <v>-9.9256307345684372E-2</v>
      </c>
      <c r="AC422">
        <f t="shared" si="63"/>
        <v>-1.9148019274424548E-2</v>
      </c>
      <c r="AD422">
        <f t="shared" si="63"/>
        <v>-8.7795746478521439E-2</v>
      </c>
      <c r="AE422">
        <f t="shared" si="63"/>
        <v>-2.1762677019310944E-3</v>
      </c>
      <c r="AF422">
        <f t="shared" si="63"/>
        <v>-3.3207187318994094E-2</v>
      </c>
      <c r="AG422">
        <f t="shared" si="63"/>
        <v>-1.5894703435157535E-2</v>
      </c>
      <c r="AH422">
        <f t="shared" si="63"/>
        <v>9.7698260864925238E-2</v>
      </c>
      <c r="AI422">
        <f t="shared" si="63"/>
        <v>6.9918361172239901E-2</v>
      </c>
      <c r="AJ422">
        <f t="shared" si="63"/>
        <v>-2.0387125753206784E-2</v>
      </c>
      <c r="AK422">
        <f t="shared" si="63"/>
        <v>5.5567306632837345E-3</v>
      </c>
      <c r="AL422">
        <f t="shared" si="63"/>
        <v>1.0059592281303835E-2</v>
      </c>
      <c r="AM422">
        <f t="shared" si="63"/>
        <v>0.17609028131397395</v>
      </c>
      <c r="AN422">
        <f t="shared" si="63"/>
        <v>0.17610771061341729</v>
      </c>
      <c r="AO422">
        <f t="shared" si="63"/>
        <v>3.3833705212817346E-2</v>
      </c>
      <c r="AP422">
        <f t="shared" si="63"/>
        <v>5.5597574179627645E-3</v>
      </c>
      <c r="AQ422">
        <f t="shared" si="63"/>
        <v>-5.6093765980080963E-3</v>
      </c>
      <c r="AR422">
        <f t="shared" si="63"/>
        <v>5.1171303020387804E-2</v>
      </c>
      <c r="AS422">
        <f t="shared" si="63"/>
        <v>2.0227697996006259E-2</v>
      </c>
      <c r="AT422">
        <f t="shared" si="63"/>
        <v>-2.9647273777140874E-2</v>
      </c>
      <c r="AU422">
        <f t="shared" si="63"/>
        <v>-7.6475854634021007E-3</v>
      </c>
      <c r="AV422">
        <f t="shared" si="63"/>
        <v>8.1496524025182447E-3</v>
      </c>
      <c r="AW422">
        <f t="shared" si="63"/>
        <v>3.2716155023902846E-3</v>
      </c>
      <c r="AX422">
        <f t="shared" si="63"/>
        <v>-0.15575095536260944</v>
      </c>
      <c r="AY422">
        <f t="shared" si="63"/>
        <v>-4.377135950087889E-2</v>
      </c>
      <c r="AZ422">
        <f t="shared" si="63"/>
        <v>0.15902598141403498</v>
      </c>
      <c r="BA422">
        <f t="shared" si="63"/>
        <v>0.99999999999999989</v>
      </c>
      <c r="BB422">
        <f t="shared" si="63"/>
        <v>3.3928992936506752E-2</v>
      </c>
      <c r="BC422">
        <f t="shared" si="63"/>
        <v>0.10182460417508507</v>
      </c>
      <c r="BD422">
        <f t="shared" si="63"/>
        <v>5.2095727428117411E-2</v>
      </c>
    </row>
    <row r="423" spans="1:56" x14ac:dyDescent="0.2">
      <c r="A423" s="2">
        <v>53</v>
      </c>
      <c r="B423">
        <f>CORREL($BB2:$BB365,B2:B365)</f>
        <v>0.39878885340972359</v>
      </c>
      <c r="C423">
        <f t="shared" ref="C423:BD423" si="64">CORREL($BB2:$BB365,C2:C365)</f>
        <v>0.55105342493840603</v>
      </c>
      <c r="D423">
        <f t="shared" si="64"/>
        <v>0.55416754692171677</v>
      </c>
      <c r="E423">
        <f t="shared" si="64"/>
        <v>2.1613498881960709E-3</v>
      </c>
      <c r="F423">
        <f t="shared" si="64"/>
        <v>0.24684629996547694</v>
      </c>
      <c r="G423">
        <f t="shared" si="64"/>
        <v>0.21273144973141841</v>
      </c>
      <c r="H423">
        <f t="shared" si="64"/>
        <v>-5.0356871649817045E-2</v>
      </c>
      <c r="I423">
        <f t="shared" si="64"/>
        <v>0.23531311388923137</v>
      </c>
      <c r="J423">
        <f t="shared" si="64"/>
        <v>0.54309315224242771</v>
      </c>
      <c r="K423">
        <f t="shared" si="64"/>
        <v>0.48784227932773028</v>
      </c>
      <c r="L423">
        <f t="shared" si="64"/>
        <v>0.38284721691044332</v>
      </c>
      <c r="M423">
        <f t="shared" si="64"/>
        <v>2.222278340073244E-2</v>
      </c>
      <c r="N423">
        <f t="shared" si="64"/>
        <v>1.5823054577664208E-2</v>
      </c>
      <c r="O423">
        <f t="shared" si="64"/>
        <v>2.1748108648287998E-2</v>
      </c>
      <c r="P423">
        <f t="shared" si="64"/>
        <v>0.4772380981573493</v>
      </c>
      <c r="Q423">
        <f t="shared" si="64"/>
        <v>0.40526865113318172</v>
      </c>
      <c r="R423">
        <f t="shared" si="64"/>
        <v>0.45298938111903531</v>
      </c>
      <c r="S423">
        <f t="shared" si="64"/>
        <v>0.50605725792793965</v>
      </c>
      <c r="T423">
        <f t="shared" si="64"/>
        <v>0.57267859760052964</v>
      </c>
      <c r="U423">
        <f t="shared" si="64"/>
        <v>0.29620245517532712</v>
      </c>
      <c r="V423">
        <f t="shared" si="64"/>
        <v>0.54959632786559653</v>
      </c>
      <c r="W423">
        <f t="shared" si="64"/>
        <v>0.41533992587112528</v>
      </c>
      <c r="X423">
        <f t="shared" si="64"/>
        <v>0.38888350896215601</v>
      </c>
      <c r="Y423">
        <f t="shared" si="64"/>
        <v>0.41381777737247427</v>
      </c>
      <c r="Z423">
        <f t="shared" si="64"/>
        <v>0.43451995193072668</v>
      </c>
      <c r="AA423">
        <f t="shared" si="64"/>
        <v>0.56488371358448453</v>
      </c>
      <c r="AB423">
        <f t="shared" si="64"/>
        <v>-0.17870820100669538</v>
      </c>
      <c r="AC423">
        <f t="shared" si="64"/>
        <v>0.39386080772239268</v>
      </c>
      <c r="AD423">
        <f t="shared" si="64"/>
        <v>-1.9501106996372055E-2</v>
      </c>
      <c r="AE423">
        <f t="shared" si="64"/>
        <v>0.44185223818285368</v>
      </c>
      <c r="AF423">
        <f t="shared" si="64"/>
        <v>0.31318626436017138</v>
      </c>
      <c r="AG423">
        <f t="shared" si="64"/>
        <v>0.27199124465678742</v>
      </c>
      <c r="AH423">
        <f t="shared" si="64"/>
        <v>0.31954041511368003</v>
      </c>
      <c r="AI423">
        <f t="shared" si="64"/>
        <v>0.32432154186672507</v>
      </c>
      <c r="AJ423">
        <f t="shared" si="64"/>
        <v>0.52313893979547021</v>
      </c>
      <c r="AK423">
        <f t="shared" si="64"/>
        <v>0.2571975021082446</v>
      </c>
      <c r="AL423">
        <f t="shared" si="64"/>
        <v>0.27747901442690043</v>
      </c>
      <c r="AM423">
        <f t="shared" si="64"/>
        <v>0.20577796881435298</v>
      </c>
      <c r="AN423">
        <f t="shared" si="64"/>
        <v>0.20551050255522441</v>
      </c>
      <c r="AO423">
        <f t="shared" si="64"/>
        <v>4.8245970476968464E-2</v>
      </c>
      <c r="AP423">
        <f t="shared" si="64"/>
        <v>0.3037538558532849</v>
      </c>
      <c r="AQ423">
        <f t="shared" si="64"/>
        <v>0.43007989960462362</v>
      </c>
      <c r="AR423">
        <f t="shared" si="64"/>
        <v>0.49417519631265555</v>
      </c>
      <c r="AS423">
        <f t="shared" si="64"/>
        <v>0.53091895474960593</v>
      </c>
      <c r="AT423">
        <f t="shared" si="64"/>
        <v>0.50189776393264118</v>
      </c>
      <c r="AU423">
        <f t="shared" si="64"/>
        <v>4.3740106694160757E-2</v>
      </c>
      <c r="AV423">
        <f t="shared" si="64"/>
        <v>2.0773475977840419E-2</v>
      </c>
      <c r="AW423">
        <f t="shared" si="64"/>
        <v>0.54723517442751735</v>
      </c>
      <c r="AX423">
        <f t="shared" si="64"/>
        <v>0.21699118872791995</v>
      </c>
      <c r="AY423">
        <f t="shared" si="64"/>
        <v>-2.9800755412136043E-3</v>
      </c>
      <c r="AZ423">
        <f t="shared" si="64"/>
        <v>-7.9430378171539306E-2</v>
      </c>
      <c r="BA423">
        <f t="shared" si="64"/>
        <v>3.3928992936506752E-2</v>
      </c>
      <c r="BB423">
        <f t="shared" si="64"/>
        <v>1</v>
      </c>
      <c r="BC423">
        <f t="shared" si="64"/>
        <v>0.41435457818371113</v>
      </c>
      <c r="BD423">
        <f t="shared" si="64"/>
        <v>0.75684373245447933</v>
      </c>
    </row>
    <row r="424" spans="1:56" x14ac:dyDescent="0.2">
      <c r="A424" s="2">
        <v>54</v>
      </c>
      <c r="B424">
        <f>CORREL($BC2:$BC365,B2:B365)</f>
        <v>0.40483088264273981</v>
      </c>
      <c r="C424">
        <f t="shared" ref="C424:BD424" si="65">CORREL($BC2:$BC365,C2:C365)</f>
        <v>0.3524838037065508</v>
      </c>
      <c r="D424">
        <f t="shared" si="65"/>
        <v>0.49824460540054438</v>
      </c>
      <c r="E424">
        <f t="shared" si="65"/>
        <v>0.1118657657210073</v>
      </c>
      <c r="F424">
        <f t="shared" si="65"/>
        <v>-4.8003374185586527E-2</v>
      </c>
      <c r="G424">
        <f t="shared" si="65"/>
        <v>0.11848478777190347</v>
      </c>
      <c r="H424">
        <f t="shared" si="65"/>
        <v>-1.0600402625128441E-3</v>
      </c>
      <c r="I424">
        <f t="shared" si="65"/>
        <v>8.2514245038905143E-2</v>
      </c>
      <c r="J424">
        <f t="shared" si="65"/>
        <v>0.32902988710368042</v>
      </c>
      <c r="K424">
        <f t="shared" si="65"/>
        <v>0.44004195692971748</v>
      </c>
      <c r="L424">
        <f t="shared" si="65"/>
        <v>0.24148572733106596</v>
      </c>
      <c r="M424">
        <f t="shared" si="65"/>
        <v>8.6807790658601461E-2</v>
      </c>
      <c r="N424">
        <f t="shared" si="65"/>
        <v>0.11094767313199509</v>
      </c>
      <c r="O424">
        <f t="shared" si="65"/>
        <v>4.246805062430864E-2</v>
      </c>
      <c r="P424">
        <f t="shared" si="65"/>
        <v>0.36217947453683924</v>
      </c>
      <c r="Q424">
        <f t="shared" si="65"/>
        <v>0.15688956326764814</v>
      </c>
      <c r="R424">
        <f t="shared" si="65"/>
        <v>0.28733805956896596</v>
      </c>
      <c r="S424">
        <f t="shared" si="65"/>
        <v>0.51306406053502074</v>
      </c>
      <c r="T424">
        <f t="shared" si="65"/>
        <v>0.32440884515576862</v>
      </c>
      <c r="U424">
        <f t="shared" si="65"/>
        <v>0.32184012473640983</v>
      </c>
      <c r="V424">
        <f t="shared" si="65"/>
        <v>0.54748406998507615</v>
      </c>
      <c r="W424">
        <f t="shared" si="65"/>
        <v>0.35583336634088447</v>
      </c>
      <c r="X424">
        <f t="shared" si="65"/>
        <v>0.2618962163585638</v>
      </c>
      <c r="Y424">
        <f t="shared" si="65"/>
        <v>0.36166154587652682</v>
      </c>
      <c r="Z424">
        <f t="shared" si="65"/>
        <v>0.28506388532396726</v>
      </c>
      <c r="AA424">
        <f t="shared" si="65"/>
        <v>0.55071367628909673</v>
      </c>
      <c r="AB424">
        <f t="shared" si="65"/>
        <v>-0.13504250819918798</v>
      </c>
      <c r="AC424">
        <f t="shared" si="65"/>
        <v>0.30601490231105277</v>
      </c>
      <c r="AD424">
        <f t="shared" si="65"/>
        <v>1.8121997458710275E-2</v>
      </c>
      <c r="AE424">
        <f t="shared" si="65"/>
        <v>0.20592760836074431</v>
      </c>
      <c r="AF424">
        <f t="shared" si="65"/>
        <v>0.34316457640827258</v>
      </c>
      <c r="AG424">
        <f t="shared" si="65"/>
        <v>0.15168650257886396</v>
      </c>
      <c r="AH424">
        <f t="shared" si="65"/>
        <v>0.28716643118885032</v>
      </c>
      <c r="AI424">
        <f t="shared" si="65"/>
        <v>0.36426356150009509</v>
      </c>
      <c r="AJ424">
        <f t="shared" si="65"/>
        <v>0.57918277866290735</v>
      </c>
      <c r="AK424">
        <f t="shared" si="65"/>
        <v>0.33710594674818167</v>
      </c>
      <c r="AL424">
        <f t="shared" si="65"/>
        <v>0.17498411562231778</v>
      </c>
      <c r="AM424">
        <f t="shared" si="65"/>
        <v>0.48512645015590738</v>
      </c>
      <c r="AN424">
        <f t="shared" si="65"/>
        <v>0.48443949331019115</v>
      </c>
      <c r="AO424">
        <f t="shared" si="65"/>
        <v>8.2117225374566519E-2</v>
      </c>
      <c r="AP424">
        <f t="shared" si="65"/>
        <v>0.18078741467372075</v>
      </c>
      <c r="AQ424">
        <f t="shared" si="65"/>
        <v>0.16797461560561247</v>
      </c>
      <c r="AR424">
        <f t="shared" si="65"/>
        <v>0.30848156002578003</v>
      </c>
      <c r="AS424">
        <f t="shared" si="65"/>
        <v>0.37053636999690165</v>
      </c>
      <c r="AT424">
        <f t="shared" si="65"/>
        <v>0.43703172393608258</v>
      </c>
      <c r="AU424">
        <f t="shared" si="65"/>
        <v>-4.1123630163314752E-3</v>
      </c>
      <c r="AV424">
        <f t="shared" si="65"/>
        <v>-6.3890708683958511E-3</v>
      </c>
      <c r="AW424">
        <f t="shared" si="65"/>
        <v>0.45628087444050591</v>
      </c>
      <c r="AX424">
        <f t="shared" si="65"/>
        <v>0.12547219272146526</v>
      </c>
      <c r="AY424">
        <f t="shared" si="65"/>
        <v>-4.1596310939520077E-2</v>
      </c>
      <c r="AZ424">
        <f t="shared" si="65"/>
        <v>1.6139351715831082E-2</v>
      </c>
      <c r="BA424">
        <f t="shared" si="65"/>
        <v>0.10182460417508507</v>
      </c>
      <c r="BB424">
        <f t="shared" si="65"/>
        <v>0.41435457818371113</v>
      </c>
      <c r="BC424">
        <f t="shared" si="65"/>
        <v>1</v>
      </c>
      <c r="BD424">
        <f t="shared" si="65"/>
        <v>0.6892399228181485</v>
      </c>
    </row>
    <row r="425" spans="1:56" x14ac:dyDescent="0.2">
      <c r="A425" s="2">
        <v>55</v>
      </c>
      <c r="B425">
        <f>CORREL($BD2:$BD365,B2:B365)</f>
        <v>0.76881653560278151</v>
      </c>
      <c r="C425">
        <f t="shared" ref="C425:BD425" si="66">CORREL($BD2:$BD365,C2:C365)</f>
        <v>0.75393955844871585</v>
      </c>
      <c r="D425">
        <f t="shared" si="66"/>
        <v>0.6043744875932443</v>
      </c>
      <c r="E425">
        <f t="shared" si="66"/>
        <v>0.60272802934846037</v>
      </c>
      <c r="F425">
        <f t="shared" si="66"/>
        <v>-0.54710919572600669</v>
      </c>
      <c r="G425">
        <f t="shared" si="66"/>
        <v>0.18055080367883319</v>
      </c>
      <c r="H425">
        <f t="shared" si="66"/>
        <v>5.3853986320574629E-2</v>
      </c>
      <c r="I425">
        <f t="shared" si="66"/>
        <v>0.16330777100760163</v>
      </c>
      <c r="J425">
        <f t="shared" si="66"/>
        <v>0.59275367304212612</v>
      </c>
      <c r="K425">
        <f t="shared" si="66"/>
        <v>0.59068507790982017</v>
      </c>
      <c r="L425">
        <f t="shared" si="66"/>
        <v>0.67816687596210679</v>
      </c>
      <c r="M425">
        <f t="shared" si="66"/>
        <v>4.3693020306016739E-2</v>
      </c>
      <c r="N425">
        <f t="shared" si="66"/>
        <v>2.0132123485353211E-2</v>
      </c>
      <c r="O425">
        <f t="shared" si="66"/>
        <v>-2.1411686347053253E-2</v>
      </c>
      <c r="P425">
        <f t="shared" si="66"/>
        <v>0.81758694431773749</v>
      </c>
      <c r="Q425">
        <f t="shared" si="66"/>
        <v>0.35407960084367784</v>
      </c>
      <c r="R425">
        <f t="shared" si="66"/>
        <v>0.80211658842543876</v>
      </c>
      <c r="S425">
        <f t="shared" si="66"/>
        <v>0.77119250276868101</v>
      </c>
      <c r="T425">
        <f t="shared" si="66"/>
        <v>0.67607933264169096</v>
      </c>
      <c r="U425">
        <f t="shared" si="66"/>
        <v>0.58204116818662022</v>
      </c>
      <c r="V425">
        <f t="shared" si="66"/>
        <v>0.87801574751089184</v>
      </c>
      <c r="W425">
        <f t="shared" si="66"/>
        <v>0.61061950435249712</v>
      </c>
      <c r="X425">
        <f t="shared" si="66"/>
        <v>0.60171212053702572</v>
      </c>
      <c r="Y425">
        <f t="shared" si="66"/>
        <v>0.75304558113617037</v>
      </c>
      <c r="Z425">
        <f t="shared" si="66"/>
        <v>0.77208910306531453</v>
      </c>
      <c r="AA425">
        <f t="shared" si="66"/>
        <v>0.88273020108025846</v>
      </c>
      <c r="AB425">
        <f t="shared" si="66"/>
        <v>-8.80200394734027E-2</v>
      </c>
      <c r="AC425">
        <f t="shared" si="66"/>
        <v>0.81780945396252713</v>
      </c>
      <c r="AD425">
        <f t="shared" si="66"/>
        <v>0.2608277003026172</v>
      </c>
      <c r="AE425">
        <f t="shared" si="66"/>
        <v>0.23718460776184433</v>
      </c>
      <c r="AF425">
        <f t="shared" si="66"/>
        <v>0.65696293569105679</v>
      </c>
      <c r="AG425">
        <f t="shared" si="66"/>
        <v>0.16106700619502595</v>
      </c>
      <c r="AH425">
        <f t="shared" si="66"/>
        <v>0.53159322811160004</v>
      </c>
      <c r="AI425">
        <f t="shared" si="66"/>
        <v>0.75911095723553534</v>
      </c>
      <c r="AJ425">
        <f t="shared" si="66"/>
        <v>0.61534480343992082</v>
      </c>
      <c r="AK425">
        <f t="shared" si="66"/>
        <v>0.76909755065680196</v>
      </c>
      <c r="AL425">
        <f t="shared" si="66"/>
        <v>0.6082938717913623</v>
      </c>
      <c r="AM425">
        <f t="shared" si="66"/>
        <v>0.81287432582902941</v>
      </c>
      <c r="AN425">
        <f t="shared" si="66"/>
        <v>0.81581502353991753</v>
      </c>
      <c r="AO425">
        <f t="shared" si="66"/>
        <v>-6.9431158448812653E-3</v>
      </c>
      <c r="AP425">
        <f t="shared" si="66"/>
        <v>4.7886718427591783E-2</v>
      </c>
      <c r="AQ425">
        <f t="shared" si="66"/>
        <v>0.59708377240891308</v>
      </c>
      <c r="AR425">
        <f t="shared" si="66"/>
        <v>0.46593596263501769</v>
      </c>
      <c r="AS425">
        <f t="shared" si="66"/>
        <v>0.57183654424697417</v>
      </c>
      <c r="AT425">
        <f t="shared" si="66"/>
        <v>0.64321706120307165</v>
      </c>
      <c r="AU425">
        <f t="shared" si="66"/>
        <v>0.44079959279642345</v>
      </c>
      <c r="AV425">
        <f t="shared" si="66"/>
        <v>-7.8500135667643647E-2</v>
      </c>
      <c r="AW425">
        <f t="shared" si="66"/>
        <v>0.56878079393960446</v>
      </c>
      <c r="AX425">
        <f t="shared" si="66"/>
        <v>0.17974134954007989</v>
      </c>
      <c r="AY425">
        <f t="shared" si="66"/>
        <v>-0.43242711804823558</v>
      </c>
      <c r="AZ425">
        <f t="shared" si="66"/>
        <v>-2.2360923045165491E-2</v>
      </c>
      <c r="BA425">
        <f t="shared" si="66"/>
        <v>5.2095727428117411E-2</v>
      </c>
      <c r="BB425">
        <f t="shared" si="66"/>
        <v>0.75684373245447933</v>
      </c>
      <c r="BC425">
        <f t="shared" si="66"/>
        <v>0.6892399228181485</v>
      </c>
      <c r="BD425">
        <f t="shared" si="66"/>
        <v>0.99999999999999978</v>
      </c>
    </row>
    <row r="427" spans="1:56" x14ac:dyDescent="0.2">
      <c r="A427">
        <v>1</v>
      </c>
      <c r="B427">
        <f>1-B371</f>
        <v>0</v>
      </c>
      <c r="C427">
        <f t="shared" ref="C427:BD427" si="67">1-C371</f>
        <v>0.59424561712521196</v>
      </c>
      <c r="D427">
        <f t="shared" si="67"/>
        <v>0.5797474996406542</v>
      </c>
      <c r="E427">
        <f t="shared" si="67"/>
        <v>0.68357825613629919</v>
      </c>
      <c r="F427">
        <f t="shared" si="67"/>
        <v>1.0262116690566723</v>
      </c>
      <c r="G427">
        <f t="shared" si="67"/>
        <v>0.95938786288518751</v>
      </c>
      <c r="H427">
        <f t="shared" si="67"/>
        <v>0.89659695263183303</v>
      </c>
      <c r="I427">
        <f t="shared" si="67"/>
        <v>0.9933111156591431</v>
      </c>
      <c r="J427">
        <f t="shared" si="67"/>
        <v>0.66359601232039289</v>
      </c>
      <c r="K427">
        <f t="shared" si="67"/>
        <v>0.51671259609031939</v>
      </c>
      <c r="L427">
        <f t="shared" si="67"/>
        <v>0.81809152181481548</v>
      </c>
      <c r="M427">
        <f t="shared" si="67"/>
        <v>0.96036465921565561</v>
      </c>
      <c r="N427">
        <f t="shared" si="67"/>
        <v>0.9571873904118543</v>
      </c>
      <c r="O427">
        <f t="shared" si="67"/>
        <v>1.0302730422312056</v>
      </c>
      <c r="P427">
        <f t="shared" si="67"/>
        <v>0.66144413243190903</v>
      </c>
      <c r="Q427">
        <f t="shared" si="67"/>
        <v>0.74296554955902894</v>
      </c>
      <c r="R427">
        <f t="shared" si="67"/>
        <v>0.743386018858609</v>
      </c>
      <c r="S427">
        <f t="shared" si="67"/>
        <v>0.33791311448669503</v>
      </c>
      <c r="T427">
        <f t="shared" si="67"/>
        <v>0.59948514516236462</v>
      </c>
      <c r="U427">
        <f t="shared" si="67"/>
        <v>0.68998830109732134</v>
      </c>
      <c r="V427">
        <f t="shared" si="67"/>
        <v>0.39739359372764038</v>
      </c>
      <c r="W427">
        <f t="shared" si="67"/>
        <v>0.60847038512164275</v>
      </c>
      <c r="X427">
        <f t="shared" si="67"/>
        <v>0.8939738682113777</v>
      </c>
      <c r="Y427">
        <f t="shared" si="67"/>
        <v>0.48779508323380427</v>
      </c>
      <c r="Z427">
        <f t="shared" si="67"/>
        <v>0.66510404662206624</v>
      </c>
      <c r="AA427">
        <f t="shared" si="67"/>
        <v>0.41811383984154638</v>
      </c>
      <c r="AB427">
        <f t="shared" si="67"/>
        <v>1.1081769036180664</v>
      </c>
      <c r="AC427">
        <f t="shared" si="67"/>
        <v>0.70755277684390783</v>
      </c>
      <c r="AD427">
        <f t="shared" si="67"/>
        <v>0.98121534644437303</v>
      </c>
      <c r="AE427">
        <f t="shared" si="67"/>
        <v>0.85787553088716328</v>
      </c>
      <c r="AF427">
        <f t="shared" si="67"/>
        <v>0.61440409591796108</v>
      </c>
      <c r="AG427">
        <f t="shared" si="67"/>
        <v>0.71101034901311233</v>
      </c>
      <c r="AH427">
        <f t="shared" si="67"/>
        <v>0.57959797403171676</v>
      </c>
      <c r="AI427">
        <f t="shared" si="67"/>
        <v>0.6316349917231876</v>
      </c>
      <c r="AJ427">
        <f t="shared" si="67"/>
        <v>0.52415407187738328</v>
      </c>
      <c r="AK427">
        <f t="shared" si="67"/>
        <v>0.70981666180775083</v>
      </c>
      <c r="AL427">
        <f t="shared" si="67"/>
        <v>0.80127740928029945</v>
      </c>
      <c r="AM427">
        <f t="shared" si="67"/>
        <v>0.6003259857088219</v>
      </c>
      <c r="AN427">
        <f t="shared" si="67"/>
        <v>0.59315944580252178</v>
      </c>
      <c r="AO427">
        <f t="shared" si="67"/>
        <v>0.94753949969341023</v>
      </c>
      <c r="AP427">
        <f t="shared" si="67"/>
        <v>0.898307173990605</v>
      </c>
      <c r="AQ427">
        <f t="shared" si="67"/>
        <v>0.95472937227122701</v>
      </c>
      <c r="AR427">
        <f t="shared" si="67"/>
        <v>0.7964471119605292</v>
      </c>
      <c r="AS427">
        <f t="shared" si="67"/>
        <v>0.62220184198062678</v>
      </c>
      <c r="AT427">
        <f t="shared" si="67"/>
        <v>0.58450884413858151</v>
      </c>
      <c r="AU427">
        <f t="shared" si="67"/>
        <v>0.78606425033732541</v>
      </c>
      <c r="AV427">
        <f t="shared" si="67"/>
        <v>1.0095519063251126</v>
      </c>
      <c r="AW427">
        <f t="shared" si="67"/>
        <v>0.53756728949242316</v>
      </c>
      <c r="AX427">
        <f t="shared" si="67"/>
        <v>0.97166983818895114</v>
      </c>
      <c r="AY427">
        <f t="shared" si="67"/>
        <v>1.2120045686270007</v>
      </c>
      <c r="AZ427">
        <f t="shared" si="67"/>
        <v>0.99984224084915418</v>
      </c>
      <c r="BA427">
        <f t="shared" si="67"/>
        <v>0.94465909377236623</v>
      </c>
      <c r="BB427">
        <f t="shared" si="67"/>
        <v>0.60121114659027641</v>
      </c>
      <c r="BC427">
        <f t="shared" si="67"/>
        <v>0.59516911735726019</v>
      </c>
      <c r="BD427">
        <f t="shared" si="67"/>
        <v>0.23118346439721849</v>
      </c>
    </row>
    <row r="428" spans="1:56" x14ac:dyDescent="0.2">
      <c r="A428">
        <v>2</v>
      </c>
      <c r="B428">
        <f t="shared" ref="B428:BD428" si="68">1-B372</f>
        <v>0.59424561712521196</v>
      </c>
      <c r="C428">
        <f t="shared" si="68"/>
        <v>0</v>
      </c>
      <c r="D428">
        <f t="shared" si="68"/>
        <v>0.62089667078509436</v>
      </c>
      <c r="E428">
        <f t="shared" si="68"/>
        <v>0.92228811876387584</v>
      </c>
      <c r="F428">
        <f t="shared" si="68"/>
        <v>0.79988672419451023</v>
      </c>
      <c r="G428">
        <f t="shared" si="68"/>
        <v>0.86216038057331079</v>
      </c>
      <c r="H428">
        <f t="shared" si="68"/>
        <v>0.9878458880226838</v>
      </c>
      <c r="I428">
        <f t="shared" si="68"/>
        <v>0.81953012626853738</v>
      </c>
      <c r="J428">
        <f t="shared" si="68"/>
        <v>0.61503107519286504</v>
      </c>
      <c r="K428">
        <f t="shared" si="68"/>
        <v>0.62882807353938275</v>
      </c>
      <c r="L428">
        <f t="shared" si="68"/>
        <v>0.82560435905136731</v>
      </c>
      <c r="M428">
        <f t="shared" si="68"/>
        <v>0.95530882737078471</v>
      </c>
      <c r="N428">
        <f t="shared" si="68"/>
        <v>0.95778546797004427</v>
      </c>
      <c r="O428">
        <f t="shared" si="68"/>
        <v>1.056385275785058</v>
      </c>
      <c r="P428">
        <f t="shared" si="68"/>
        <v>0.67459779062527803</v>
      </c>
      <c r="Q428">
        <f t="shared" si="68"/>
        <v>0.75552201768832128</v>
      </c>
      <c r="R428">
        <f t="shared" si="68"/>
        <v>0.65158476669351417</v>
      </c>
      <c r="S428">
        <f t="shared" si="68"/>
        <v>0.578035394348418</v>
      </c>
      <c r="T428">
        <f t="shared" si="68"/>
        <v>0.52821664752682129</v>
      </c>
      <c r="U428">
        <f t="shared" si="68"/>
        <v>0.68970604973630112</v>
      </c>
      <c r="V428">
        <f t="shared" si="68"/>
        <v>0.4954424920284769</v>
      </c>
      <c r="W428">
        <f t="shared" si="68"/>
        <v>0.69598196410146418</v>
      </c>
      <c r="X428">
        <f t="shared" si="68"/>
        <v>0.79810188823747708</v>
      </c>
      <c r="Y428">
        <f t="shared" si="68"/>
        <v>0.58380436451095918</v>
      </c>
      <c r="Z428">
        <f t="shared" si="68"/>
        <v>0.70800926937713549</v>
      </c>
      <c r="AA428">
        <f t="shared" si="68"/>
        <v>0.47661208578416803</v>
      </c>
      <c r="AB428">
        <f t="shared" si="68"/>
        <v>1.1060902007345741</v>
      </c>
      <c r="AC428">
        <f t="shared" si="68"/>
        <v>0.68536901772854586</v>
      </c>
      <c r="AD428">
        <f t="shared" si="68"/>
        <v>0.85236079505080453</v>
      </c>
      <c r="AE428">
        <f t="shared" si="68"/>
        <v>0.69897483472867816</v>
      </c>
      <c r="AF428">
        <f t="shared" si="68"/>
        <v>0.69468861441396679</v>
      </c>
      <c r="AG428">
        <f t="shared" si="68"/>
        <v>0.81063694517132112</v>
      </c>
      <c r="AH428">
        <f t="shared" si="68"/>
        <v>0.74627350046541707</v>
      </c>
      <c r="AI428">
        <f t="shared" si="68"/>
        <v>0.68703227690254987</v>
      </c>
      <c r="AJ428">
        <f t="shared" si="68"/>
        <v>0.63702105983538426</v>
      </c>
      <c r="AK428">
        <f t="shared" si="68"/>
        <v>0.81023114045428946</v>
      </c>
      <c r="AL428">
        <f t="shared" si="68"/>
        <v>0.76603257973463568</v>
      </c>
      <c r="AM428">
        <f t="shared" si="68"/>
        <v>0.80657313307515088</v>
      </c>
      <c r="AN428">
        <f t="shared" si="68"/>
        <v>0.80508736908941847</v>
      </c>
      <c r="AO428">
        <f t="shared" si="68"/>
        <v>1.021014116776469</v>
      </c>
      <c r="AP428">
        <f t="shared" si="68"/>
        <v>0.77827347978192207</v>
      </c>
      <c r="AQ428">
        <f t="shared" si="68"/>
        <v>0.82563142012874235</v>
      </c>
      <c r="AR428">
        <f t="shared" si="68"/>
        <v>0.70744351522576299</v>
      </c>
      <c r="AS428">
        <f t="shared" si="68"/>
        <v>0.61234661567003701</v>
      </c>
      <c r="AT428">
        <f t="shared" si="68"/>
        <v>0.5378602192732197</v>
      </c>
      <c r="AU428">
        <f t="shared" si="68"/>
        <v>0.98361129634591882</v>
      </c>
      <c r="AV428">
        <f t="shared" si="68"/>
        <v>0.96352528173179897</v>
      </c>
      <c r="AW428">
        <f t="shared" si="68"/>
        <v>0.50933623630815139</v>
      </c>
      <c r="AX428">
        <f t="shared" si="68"/>
        <v>0.82983627900194556</v>
      </c>
      <c r="AY428">
        <f t="shared" si="68"/>
        <v>1.0539951720111866</v>
      </c>
      <c r="AZ428">
        <f t="shared" si="68"/>
        <v>0.99820480598049799</v>
      </c>
      <c r="BA428">
        <f t="shared" si="68"/>
        <v>1.0940072741403044</v>
      </c>
      <c r="BB428">
        <f t="shared" si="68"/>
        <v>0.44894657506159397</v>
      </c>
      <c r="BC428">
        <f t="shared" si="68"/>
        <v>0.64751619629344925</v>
      </c>
      <c r="BD428">
        <f t="shared" si="68"/>
        <v>0.24606044155128415</v>
      </c>
    </row>
    <row r="429" spans="1:56" x14ac:dyDescent="0.2">
      <c r="A429">
        <v>3</v>
      </c>
      <c r="B429">
        <f t="shared" ref="B429:BD429" si="69">1-B373</f>
        <v>0.5797474996406542</v>
      </c>
      <c r="C429">
        <f t="shared" si="69"/>
        <v>0.62089667078509436</v>
      </c>
      <c r="D429">
        <f t="shared" si="69"/>
        <v>0</v>
      </c>
      <c r="E429">
        <f t="shared" si="69"/>
        <v>0.89799743178290414</v>
      </c>
      <c r="F429">
        <f t="shared" si="69"/>
        <v>0.93855077004970955</v>
      </c>
      <c r="G429">
        <f t="shared" si="69"/>
        <v>0.93857576252538388</v>
      </c>
      <c r="H429">
        <f t="shared" si="69"/>
        <v>0.99625184521496102</v>
      </c>
      <c r="I429">
        <f t="shared" si="69"/>
        <v>0.9261011970346309</v>
      </c>
      <c r="J429">
        <f t="shared" si="69"/>
        <v>0.54679006796448182</v>
      </c>
      <c r="K429">
        <f t="shared" si="69"/>
        <v>0.49379836875459016</v>
      </c>
      <c r="L429">
        <f t="shared" si="69"/>
        <v>0.72922354762960651</v>
      </c>
      <c r="M429">
        <f t="shared" si="69"/>
        <v>0.95585836532522317</v>
      </c>
      <c r="N429">
        <f t="shared" si="69"/>
        <v>0.96552881754658748</v>
      </c>
      <c r="O429">
        <f t="shared" si="69"/>
        <v>0.99080774915818215</v>
      </c>
      <c r="P429">
        <f t="shared" si="69"/>
        <v>0.54310219013887107</v>
      </c>
      <c r="Q429">
        <f t="shared" si="69"/>
        <v>0.69096628324585541</v>
      </c>
      <c r="R429">
        <f t="shared" si="69"/>
        <v>0.60271722109752113</v>
      </c>
      <c r="S429">
        <f t="shared" si="69"/>
        <v>0.51099262570421766</v>
      </c>
      <c r="T429">
        <f t="shared" si="69"/>
        <v>0.45813994008780978</v>
      </c>
      <c r="U429">
        <f t="shared" si="69"/>
        <v>0.6660859636173968</v>
      </c>
      <c r="V429">
        <f t="shared" si="69"/>
        <v>0.45228535399539027</v>
      </c>
      <c r="W429">
        <f t="shared" si="69"/>
        <v>0.62504957399472916</v>
      </c>
      <c r="X429">
        <f t="shared" si="69"/>
        <v>0.62721824247461311</v>
      </c>
      <c r="Y429">
        <f t="shared" si="69"/>
        <v>0.55687625752576797</v>
      </c>
      <c r="Z429">
        <f t="shared" si="69"/>
        <v>0.62922194970395529</v>
      </c>
      <c r="AA429">
        <f t="shared" si="69"/>
        <v>0.43066778093392244</v>
      </c>
      <c r="AB429">
        <f t="shared" si="69"/>
        <v>1.1760118434697082</v>
      </c>
      <c r="AC429">
        <f t="shared" si="69"/>
        <v>0.60559631109614764</v>
      </c>
      <c r="AD429">
        <f t="shared" si="69"/>
        <v>1.0758993973350988</v>
      </c>
      <c r="AE429">
        <f t="shared" si="69"/>
        <v>0.74732196217928626</v>
      </c>
      <c r="AF429">
        <f t="shared" si="69"/>
        <v>0.47002338440673497</v>
      </c>
      <c r="AG429">
        <f t="shared" si="69"/>
        <v>0.76600569727368395</v>
      </c>
      <c r="AH429">
        <f t="shared" si="69"/>
        <v>0.57324676878645198</v>
      </c>
      <c r="AI429">
        <f t="shared" si="69"/>
        <v>0.65772191932697721</v>
      </c>
      <c r="AJ429">
        <f t="shared" si="69"/>
        <v>0.3561952815051711</v>
      </c>
      <c r="AK429">
        <f t="shared" si="69"/>
        <v>0.66064096169109976</v>
      </c>
      <c r="AL429">
        <f t="shared" si="69"/>
        <v>0.83631798346410324</v>
      </c>
      <c r="AM429">
        <f t="shared" si="69"/>
        <v>0.74757295999785001</v>
      </c>
      <c r="AN429">
        <f t="shared" si="69"/>
        <v>0.74900753982499357</v>
      </c>
      <c r="AO429">
        <f t="shared" si="69"/>
        <v>0.85932209937320037</v>
      </c>
      <c r="AP429">
        <f t="shared" si="69"/>
        <v>0.84601860397697359</v>
      </c>
      <c r="AQ429">
        <f t="shared" si="69"/>
        <v>0.53511422705456535</v>
      </c>
      <c r="AR429">
        <f t="shared" si="69"/>
        <v>0.51962822947141685</v>
      </c>
      <c r="AS429">
        <f t="shared" si="69"/>
        <v>0.57743418974040628</v>
      </c>
      <c r="AT429">
        <f t="shared" si="69"/>
        <v>0.38911638898178447</v>
      </c>
      <c r="AU429">
        <f t="shared" si="69"/>
        <v>1.0215327026819492</v>
      </c>
      <c r="AV429">
        <f t="shared" si="69"/>
        <v>0.96947429338245772</v>
      </c>
      <c r="AW429">
        <f t="shared" si="69"/>
        <v>0.46636814113349778</v>
      </c>
      <c r="AX429">
        <f t="shared" si="69"/>
        <v>0.93597143395171312</v>
      </c>
      <c r="AY429">
        <f t="shared" si="69"/>
        <v>1.1165275568607613</v>
      </c>
      <c r="AZ429">
        <f t="shared" si="69"/>
        <v>1.1086895547057827</v>
      </c>
      <c r="BA429">
        <f t="shared" si="69"/>
        <v>0.9992269159587609</v>
      </c>
      <c r="BB429">
        <f t="shared" si="69"/>
        <v>0.44583245307828323</v>
      </c>
      <c r="BC429">
        <f t="shared" si="69"/>
        <v>0.50175539459945562</v>
      </c>
      <c r="BD429">
        <f t="shared" si="69"/>
        <v>0.3956255124067557</v>
      </c>
    </row>
    <row r="430" spans="1:56" x14ac:dyDescent="0.2">
      <c r="A430">
        <v>4</v>
      </c>
      <c r="B430">
        <f t="shared" ref="B430:BD430" si="70">1-B374</f>
        <v>0.68357825613629919</v>
      </c>
      <c r="C430">
        <f t="shared" si="70"/>
        <v>0.92228811876387584</v>
      </c>
      <c r="D430">
        <f t="shared" si="70"/>
        <v>0.89799743178290414</v>
      </c>
      <c r="E430">
        <f t="shared" si="70"/>
        <v>0</v>
      </c>
      <c r="F430">
        <f t="shared" si="70"/>
        <v>1.1329670866554016</v>
      </c>
      <c r="G430">
        <f t="shared" si="70"/>
        <v>0.99085680972471868</v>
      </c>
      <c r="H430">
        <f t="shared" si="70"/>
        <v>1.0003308268680167</v>
      </c>
      <c r="I430">
        <f t="shared" si="70"/>
        <v>0.98394933984094624</v>
      </c>
      <c r="J430">
        <f t="shared" si="70"/>
        <v>0.97225428705859507</v>
      </c>
      <c r="K430">
        <f t="shared" si="70"/>
        <v>0.61317777431690668</v>
      </c>
      <c r="L430">
        <f t="shared" si="70"/>
        <v>0.83882552933647614</v>
      </c>
      <c r="M430">
        <f t="shared" si="70"/>
        <v>1.0359172799429461</v>
      </c>
      <c r="N430">
        <f t="shared" si="70"/>
        <v>0.99896533393738518</v>
      </c>
      <c r="O430">
        <f t="shared" si="70"/>
        <v>1.0262613714083542</v>
      </c>
      <c r="P430">
        <f t="shared" si="70"/>
        <v>0.93223327372090337</v>
      </c>
      <c r="Q430">
        <f t="shared" si="70"/>
        <v>0.93796858503984448</v>
      </c>
      <c r="R430">
        <f t="shared" si="70"/>
        <v>1.0037933540375907</v>
      </c>
      <c r="S430">
        <f t="shared" si="70"/>
        <v>0.54981843296948096</v>
      </c>
      <c r="T430">
        <f t="shared" si="70"/>
        <v>0.86708993346815333</v>
      </c>
      <c r="U430">
        <f t="shared" si="70"/>
        <v>0.89873796200209077</v>
      </c>
      <c r="V430">
        <f t="shared" si="70"/>
        <v>0.77965434349992369</v>
      </c>
      <c r="W430">
        <f t="shared" si="70"/>
        <v>0.82959034046785463</v>
      </c>
      <c r="X430">
        <f t="shared" si="70"/>
        <v>1.0771961814604436</v>
      </c>
      <c r="Y430">
        <f t="shared" si="70"/>
        <v>0.78230847062254616</v>
      </c>
      <c r="Z430">
        <f t="shared" si="70"/>
        <v>0.79940903030350274</v>
      </c>
      <c r="AA430">
        <f t="shared" si="70"/>
        <v>0.81084153316038143</v>
      </c>
      <c r="AB430">
        <f t="shared" si="70"/>
        <v>1.124775535353119</v>
      </c>
      <c r="AC430">
        <f t="shared" si="70"/>
        <v>0.88380446305353555</v>
      </c>
      <c r="AD430">
        <f t="shared" si="70"/>
        <v>1.0737624358181994</v>
      </c>
      <c r="AE430">
        <f t="shared" si="70"/>
        <v>0.98322957926382959</v>
      </c>
      <c r="AF430">
        <f t="shared" si="70"/>
        <v>0.78371269379050035</v>
      </c>
      <c r="AG430">
        <f t="shared" si="70"/>
        <v>0.88048998915314558</v>
      </c>
      <c r="AH430">
        <f t="shared" si="70"/>
        <v>0.75623596521905045</v>
      </c>
      <c r="AI430">
        <f t="shared" si="70"/>
        <v>0.91851699332526882</v>
      </c>
      <c r="AJ430">
        <f t="shared" si="70"/>
        <v>0.47635942311421431</v>
      </c>
      <c r="AK430">
        <f t="shared" si="70"/>
        <v>0.82427474629145214</v>
      </c>
      <c r="AL430">
        <f t="shared" si="70"/>
        <v>0.99942193336357155</v>
      </c>
      <c r="AM430">
        <f t="shared" si="70"/>
        <v>0.75143745778250837</v>
      </c>
      <c r="AN430">
        <f t="shared" si="70"/>
        <v>0.74180376551369165</v>
      </c>
      <c r="AO430">
        <f t="shared" si="70"/>
        <v>1.1151469507308118</v>
      </c>
      <c r="AP430">
        <f t="shared" si="70"/>
        <v>1.1077960834908489</v>
      </c>
      <c r="AQ430">
        <f t="shared" si="70"/>
        <v>1.0381292818594636</v>
      </c>
      <c r="AR430">
        <f t="shared" si="70"/>
        <v>1.015077864295689</v>
      </c>
      <c r="AS430">
        <f t="shared" si="70"/>
        <v>0.81201995708857788</v>
      </c>
      <c r="AT430">
        <f t="shared" si="70"/>
        <v>0.90344951737147561</v>
      </c>
      <c r="AU430">
        <f t="shared" si="70"/>
        <v>0.85957038447449352</v>
      </c>
      <c r="AV430">
        <f t="shared" si="70"/>
        <v>1.0121207950868949</v>
      </c>
      <c r="AW430">
        <f t="shared" si="70"/>
        <v>0.91538287170013011</v>
      </c>
      <c r="AX430">
        <f t="shared" si="70"/>
        <v>0.99101165429365223</v>
      </c>
      <c r="AY430">
        <f t="shared" si="70"/>
        <v>1.0728449704059526</v>
      </c>
      <c r="AZ430">
        <f t="shared" si="70"/>
        <v>0.85064954757378941</v>
      </c>
      <c r="BA430">
        <f t="shared" si="70"/>
        <v>0.92850609586381727</v>
      </c>
      <c r="BB430">
        <f t="shared" si="70"/>
        <v>0.99783865011180395</v>
      </c>
      <c r="BC430">
        <f t="shared" si="70"/>
        <v>0.88813423427899274</v>
      </c>
      <c r="BD430">
        <f t="shared" si="70"/>
        <v>0.39727197065153963</v>
      </c>
    </row>
    <row r="431" spans="1:56" x14ac:dyDescent="0.2">
      <c r="A431">
        <v>5</v>
      </c>
      <c r="B431">
        <f t="shared" ref="B431:BD431" si="71">1-B375</f>
        <v>1.0262116690566723</v>
      </c>
      <c r="C431">
        <f t="shared" si="71"/>
        <v>0.79988672419451023</v>
      </c>
      <c r="D431">
        <f t="shared" si="71"/>
        <v>0.93855077004970955</v>
      </c>
      <c r="E431">
        <f t="shared" si="71"/>
        <v>1.1329670866554016</v>
      </c>
      <c r="F431">
        <f t="shared" si="71"/>
        <v>0</v>
      </c>
      <c r="G431">
        <f t="shared" si="71"/>
        <v>0.80678498359485895</v>
      </c>
      <c r="H431">
        <f t="shared" si="71"/>
        <v>1.006908234023715</v>
      </c>
      <c r="I431">
        <f t="shared" si="71"/>
        <v>0.851054531923501</v>
      </c>
      <c r="J431">
        <f t="shared" si="71"/>
        <v>0.72278705275490496</v>
      </c>
      <c r="K431">
        <f t="shared" si="71"/>
        <v>0.96607511653676292</v>
      </c>
      <c r="L431">
        <f t="shared" si="71"/>
        <v>0.95539549221445752</v>
      </c>
      <c r="M431">
        <f t="shared" si="71"/>
        <v>0.98115532122790072</v>
      </c>
      <c r="N431">
        <f t="shared" si="71"/>
        <v>0.9875007815237169</v>
      </c>
      <c r="O431">
        <f t="shared" si="71"/>
        <v>0.86564714557123379</v>
      </c>
      <c r="P431">
        <f t="shared" si="71"/>
        <v>0.88420854819992756</v>
      </c>
      <c r="Q431">
        <f t="shared" si="71"/>
        <v>0.91482660726502485</v>
      </c>
      <c r="R431">
        <f t="shared" si="71"/>
        <v>0.93121329537067066</v>
      </c>
      <c r="S431">
        <f t="shared" si="71"/>
        <v>1.1954487901577813</v>
      </c>
      <c r="T431">
        <f t="shared" si="71"/>
        <v>0.87468234036641979</v>
      </c>
      <c r="U431">
        <f t="shared" si="71"/>
        <v>0.97043216213581152</v>
      </c>
      <c r="V431">
        <f t="shared" si="71"/>
        <v>0.99244723521629141</v>
      </c>
      <c r="W431">
        <f t="shared" si="71"/>
        <v>0.94869487274496644</v>
      </c>
      <c r="X431">
        <f t="shared" si="71"/>
        <v>0.90350217003253541</v>
      </c>
      <c r="Y431">
        <f t="shared" si="71"/>
        <v>1.0097788597499204</v>
      </c>
      <c r="Z431">
        <f t="shared" si="71"/>
        <v>0.98804202086820525</v>
      </c>
      <c r="AA431">
        <f t="shared" si="71"/>
        <v>0.98555467363247728</v>
      </c>
      <c r="AB431">
        <f t="shared" si="71"/>
        <v>0.89853299723892899</v>
      </c>
      <c r="AC431">
        <f t="shared" si="71"/>
        <v>1.0314300438844379</v>
      </c>
      <c r="AD431">
        <f t="shared" si="71"/>
        <v>0.94905949197487305</v>
      </c>
      <c r="AE431">
        <f t="shared" si="71"/>
        <v>0.82665526390167343</v>
      </c>
      <c r="AF431">
        <f t="shared" si="71"/>
        <v>0.99703737877007725</v>
      </c>
      <c r="AG431">
        <f t="shared" si="71"/>
        <v>0.93145996046529467</v>
      </c>
      <c r="AH431">
        <f t="shared" si="71"/>
        <v>1.0009499331257188</v>
      </c>
      <c r="AI431">
        <f t="shared" si="71"/>
        <v>1.2016567293352678</v>
      </c>
      <c r="AJ431">
        <f t="shared" si="71"/>
        <v>1.0911967078251816</v>
      </c>
      <c r="AK431">
        <f t="shared" si="71"/>
        <v>1.0898488938199085</v>
      </c>
      <c r="AL431">
        <f t="shared" si="71"/>
        <v>0.95700173073642703</v>
      </c>
      <c r="AM431">
        <f t="shared" si="71"/>
        <v>1.1622618584008308</v>
      </c>
      <c r="AN431">
        <f t="shared" si="71"/>
        <v>1.1748542651940481</v>
      </c>
      <c r="AO431">
        <f t="shared" si="71"/>
        <v>1.0651826963913114</v>
      </c>
      <c r="AP431">
        <f t="shared" si="71"/>
        <v>0.82271192698091467</v>
      </c>
      <c r="AQ431">
        <f t="shared" si="71"/>
        <v>0.99980057509917442</v>
      </c>
      <c r="AR431">
        <f t="shared" si="71"/>
        <v>0.87533476839329849</v>
      </c>
      <c r="AS431">
        <f t="shared" si="71"/>
        <v>0.90711239752743489</v>
      </c>
      <c r="AT431">
        <f t="shared" si="71"/>
        <v>0.96542096163697289</v>
      </c>
      <c r="AU431">
        <f t="shared" si="71"/>
        <v>0.9983801404949364</v>
      </c>
      <c r="AV431">
        <f t="shared" si="71"/>
        <v>0.95803719594798542</v>
      </c>
      <c r="AW431">
        <f t="shared" si="71"/>
        <v>0.94333473175564919</v>
      </c>
      <c r="AX431">
        <f t="shared" si="71"/>
        <v>0.86817578933619399</v>
      </c>
      <c r="AY431">
        <f t="shared" si="71"/>
        <v>0.86823746028847759</v>
      </c>
      <c r="AZ431">
        <f t="shared" si="71"/>
        <v>1.032198944729066</v>
      </c>
      <c r="BA431">
        <f t="shared" si="71"/>
        <v>1.1497957487927795</v>
      </c>
      <c r="BB431">
        <f t="shared" si="71"/>
        <v>0.75315370003452309</v>
      </c>
      <c r="BC431">
        <f t="shared" si="71"/>
        <v>1.0480033741855865</v>
      </c>
      <c r="BD431">
        <f t="shared" si="71"/>
        <v>1.5471091957260068</v>
      </c>
    </row>
    <row r="432" spans="1:56" x14ac:dyDescent="0.2">
      <c r="A432">
        <v>6</v>
      </c>
      <c r="B432">
        <f t="shared" ref="B432:BD432" si="72">1-B376</f>
        <v>0.95938786288518751</v>
      </c>
      <c r="C432">
        <f t="shared" si="72"/>
        <v>0.86216038057331079</v>
      </c>
      <c r="D432">
        <f t="shared" si="72"/>
        <v>0.93857576252538388</v>
      </c>
      <c r="E432">
        <f t="shared" si="72"/>
        <v>0.99085680972471868</v>
      </c>
      <c r="F432">
        <f t="shared" si="72"/>
        <v>0.80678498359485895</v>
      </c>
      <c r="G432">
        <f t="shared" si="72"/>
        <v>0</v>
      </c>
      <c r="H432">
        <f t="shared" si="72"/>
        <v>0.98846008106859917</v>
      </c>
      <c r="I432">
        <f t="shared" si="72"/>
        <v>0.29574591937765682</v>
      </c>
      <c r="J432">
        <f t="shared" si="72"/>
        <v>0.80701876947850493</v>
      </c>
      <c r="K432">
        <f t="shared" si="72"/>
        <v>1.030776016386685</v>
      </c>
      <c r="L432">
        <f t="shared" si="72"/>
        <v>0.81649841880102081</v>
      </c>
      <c r="M432">
        <f t="shared" si="72"/>
        <v>0.61331084711445483</v>
      </c>
      <c r="N432">
        <f t="shared" si="72"/>
        <v>0.9930582817385003</v>
      </c>
      <c r="O432">
        <f t="shared" si="72"/>
        <v>0.64412946859657882</v>
      </c>
      <c r="P432">
        <f t="shared" si="72"/>
        <v>0.87472364398477254</v>
      </c>
      <c r="Q432">
        <f t="shared" si="72"/>
        <v>0.91044758884713528</v>
      </c>
      <c r="R432">
        <f t="shared" si="72"/>
        <v>0.92989890045469459</v>
      </c>
      <c r="S432">
        <f t="shared" si="72"/>
        <v>0.94862522122273485</v>
      </c>
      <c r="T432">
        <f t="shared" si="72"/>
        <v>0.89100139555918234</v>
      </c>
      <c r="U432">
        <f t="shared" si="72"/>
        <v>0.98583943546568631</v>
      </c>
      <c r="V432">
        <f t="shared" si="72"/>
        <v>0.87007683064921504</v>
      </c>
      <c r="W432">
        <f t="shared" si="72"/>
        <v>1.0368027245670861</v>
      </c>
      <c r="X432">
        <f t="shared" si="72"/>
        <v>0.81310211860805715</v>
      </c>
      <c r="Y432">
        <f t="shared" si="72"/>
        <v>0.99384753834971018</v>
      </c>
      <c r="Z432">
        <f t="shared" si="72"/>
        <v>0.90544984987056565</v>
      </c>
      <c r="AA432">
        <f t="shared" si="72"/>
        <v>0.8971091006191062</v>
      </c>
      <c r="AB432">
        <f t="shared" si="72"/>
        <v>1.0065875787943179</v>
      </c>
      <c r="AC432">
        <f t="shared" si="72"/>
        <v>0.77368655807519915</v>
      </c>
      <c r="AD432">
        <f t="shared" si="72"/>
        <v>0.7802281308362653</v>
      </c>
      <c r="AE432">
        <f t="shared" si="72"/>
        <v>0.73838187734419625</v>
      </c>
      <c r="AF432">
        <f t="shared" si="72"/>
        <v>0.93096031749623209</v>
      </c>
      <c r="AG432">
        <f t="shared" si="72"/>
        <v>0.82908057038636962</v>
      </c>
      <c r="AH432">
        <f t="shared" si="72"/>
        <v>0.99483660401498164</v>
      </c>
      <c r="AI432">
        <f t="shared" si="72"/>
        <v>0.9304915812199166</v>
      </c>
      <c r="AJ432">
        <f t="shared" si="72"/>
        <v>0.96132345866599112</v>
      </c>
      <c r="AK432">
        <f t="shared" si="72"/>
        <v>0.7724808121341149</v>
      </c>
      <c r="AL432">
        <f t="shared" si="72"/>
        <v>1.0064995122995237</v>
      </c>
      <c r="AM432">
        <f t="shared" si="72"/>
        <v>1.0317892232693555</v>
      </c>
      <c r="AN432">
        <f t="shared" si="72"/>
        <v>1.0430610274338477</v>
      </c>
      <c r="AO432">
        <f t="shared" si="72"/>
        <v>1.0558158214722537</v>
      </c>
      <c r="AP432">
        <f t="shared" si="72"/>
        <v>0.86979679968895385</v>
      </c>
      <c r="AQ432">
        <f t="shared" si="72"/>
        <v>0.89616710184973858</v>
      </c>
      <c r="AR432">
        <f t="shared" si="72"/>
        <v>0.89123502236913821</v>
      </c>
      <c r="AS432">
        <f t="shared" si="72"/>
        <v>0.87200828958810828</v>
      </c>
      <c r="AT432">
        <f t="shared" si="72"/>
        <v>0.81122074211232487</v>
      </c>
      <c r="AU432">
        <f t="shared" si="72"/>
        <v>1.0592690775852596</v>
      </c>
      <c r="AV432">
        <f t="shared" si="72"/>
        <v>0.98279811768258596</v>
      </c>
      <c r="AW432">
        <f t="shared" si="72"/>
        <v>0.86337330503877385</v>
      </c>
      <c r="AX432">
        <f t="shared" si="72"/>
        <v>0.20820062416069807</v>
      </c>
      <c r="AY432">
        <f t="shared" si="72"/>
        <v>0.97105281784299624</v>
      </c>
      <c r="AZ432">
        <f t="shared" si="72"/>
        <v>1.0457217164410053</v>
      </c>
      <c r="BA432">
        <f t="shared" si="72"/>
        <v>1.1405110185033698</v>
      </c>
      <c r="BB432">
        <f t="shared" si="72"/>
        <v>0.78726855026858156</v>
      </c>
      <c r="BC432">
        <f t="shared" si="72"/>
        <v>0.88151521222809648</v>
      </c>
      <c r="BD432">
        <f t="shared" si="72"/>
        <v>0.81944919632116675</v>
      </c>
    </row>
    <row r="433" spans="1:56" x14ac:dyDescent="0.2">
      <c r="A433">
        <v>7</v>
      </c>
      <c r="B433">
        <f t="shared" ref="B433:BD433" si="73">1-B377</f>
        <v>0.89659695263183303</v>
      </c>
      <c r="C433">
        <f t="shared" si="73"/>
        <v>0.9878458880226838</v>
      </c>
      <c r="D433">
        <f t="shared" si="73"/>
        <v>0.99625184521496102</v>
      </c>
      <c r="E433">
        <f t="shared" si="73"/>
        <v>1.0003308268680167</v>
      </c>
      <c r="F433">
        <f t="shared" si="73"/>
        <v>1.006908234023715</v>
      </c>
      <c r="G433">
        <f t="shared" si="73"/>
        <v>0.98846008106859917</v>
      </c>
      <c r="H433">
        <f t="shared" si="73"/>
        <v>0</v>
      </c>
      <c r="I433">
        <f t="shared" si="73"/>
        <v>1.0152585132340068</v>
      </c>
      <c r="J433">
        <f t="shared" si="73"/>
        <v>1.004204663892218</v>
      </c>
      <c r="K433">
        <f t="shared" si="73"/>
        <v>0.90422888915796018</v>
      </c>
      <c r="L433">
        <f t="shared" si="73"/>
        <v>0.98969085051783379</v>
      </c>
      <c r="M433">
        <f t="shared" si="73"/>
        <v>1.0755924532557841</v>
      </c>
      <c r="N433">
        <f t="shared" si="73"/>
        <v>0.99393036819121983</v>
      </c>
      <c r="O433">
        <f t="shared" si="73"/>
        <v>0.96078845876796515</v>
      </c>
      <c r="P433">
        <f t="shared" si="73"/>
        <v>0.98547333236859203</v>
      </c>
      <c r="Q433">
        <f t="shared" si="73"/>
        <v>1.0262968083539197</v>
      </c>
      <c r="R433">
        <f t="shared" si="73"/>
        <v>0.9638286297094657</v>
      </c>
      <c r="S433">
        <f t="shared" si="73"/>
        <v>0.92400221698289509</v>
      </c>
      <c r="T433">
        <f t="shared" si="73"/>
        <v>0.95415437979130135</v>
      </c>
      <c r="U433">
        <f t="shared" si="73"/>
        <v>0.9577734258917443</v>
      </c>
      <c r="V433">
        <f t="shared" si="73"/>
        <v>0.95676381629563967</v>
      </c>
      <c r="W433">
        <f t="shared" si="73"/>
        <v>1.0891765729593192</v>
      </c>
      <c r="X433">
        <f t="shared" si="73"/>
        <v>1.0520260550710481</v>
      </c>
      <c r="Y433">
        <f t="shared" si="73"/>
        <v>0.95607220926290248</v>
      </c>
      <c r="Z433">
        <f t="shared" si="73"/>
        <v>0.9690029114124773</v>
      </c>
      <c r="AA433">
        <f t="shared" si="73"/>
        <v>0.96755584995321497</v>
      </c>
      <c r="AB433">
        <f t="shared" si="73"/>
        <v>1.0861287186522837</v>
      </c>
      <c r="AC433">
        <f t="shared" si="73"/>
        <v>0.97057223790558866</v>
      </c>
      <c r="AD433">
        <f t="shared" si="73"/>
        <v>0.92569670945957405</v>
      </c>
      <c r="AE433">
        <f t="shared" si="73"/>
        <v>1.0285626973241655</v>
      </c>
      <c r="AF433">
        <f t="shared" si="73"/>
        <v>1.0262105698958259</v>
      </c>
      <c r="AG433">
        <f t="shared" si="73"/>
        <v>0.99934660029091316</v>
      </c>
      <c r="AH433">
        <f t="shared" si="73"/>
        <v>1.0532026997604933</v>
      </c>
      <c r="AI433">
        <f t="shared" si="73"/>
        <v>0.98645029702295728</v>
      </c>
      <c r="AJ433">
        <f t="shared" si="73"/>
        <v>1.0339310452923005</v>
      </c>
      <c r="AK433">
        <f t="shared" si="73"/>
        <v>1.009809859207536</v>
      </c>
      <c r="AL433">
        <f t="shared" si="73"/>
        <v>1.0605413338363596</v>
      </c>
      <c r="AM433">
        <f t="shared" si="73"/>
        <v>0.98860403567214661</v>
      </c>
      <c r="AN433">
        <f t="shared" si="73"/>
        <v>0.988756913651333</v>
      </c>
      <c r="AO433">
        <f t="shared" si="73"/>
        <v>1.2843273640028787</v>
      </c>
      <c r="AP433">
        <f t="shared" si="73"/>
        <v>0.94841686915814549</v>
      </c>
      <c r="AQ433">
        <f t="shared" si="73"/>
        <v>1.0413037750879666</v>
      </c>
      <c r="AR433">
        <f t="shared" si="73"/>
        <v>1.0594921509940434</v>
      </c>
      <c r="AS433">
        <f t="shared" si="73"/>
        <v>1.0209493022758378</v>
      </c>
      <c r="AT433">
        <f t="shared" si="73"/>
        <v>0.90624546029925579</v>
      </c>
      <c r="AU433">
        <f t="shared" si="73"/>
        <v>0.96549694118167484</v>
      </c>
      <c r="AV433">
        <f t="shared" si="73"/>
        <v>0.98745727226490421</v>
      </c>
      <c r="AW433">
        <f t="shared" si="73"/>
        <v>0.99404573265495422</v>
      </c>
      <c r="AX433">
        <f t="shared" si="73"/>
        <v>1.0017399744753255</v>
      </c>
      <c r="AY433">
        <f t="shared" si="73"/>
        <v>1.0527258296102464</v>
      </c>
      <c r="AZ433">
        <f t="shared" si="73"/>
        <v>0.9686673542945573</v>
      </c>
      <c r="BA433">
        <f t="shared" si="73"/>
        <v>1.0516447709539105</v>
      </c>
      <c r="BB433">
        <f t="shared" si="73"/>
        <v>1.0503568716498171</v>
      </c>
      <c r="BC433">
        <f t="shared" si="73"/>
        <v>1.0010600402625129</v>
      </c>
      <c r="BD433">
        <f t="shared" si="73"/>
        <v>0.94614601367942541</v>
      </c>
    </row>
    <row r="434" spans="1:56" x14ac:dyDescent="0.2">
      <c r="A434">
        <v>8</v>
      </c>
      <c r="B434">
        <f t="shared" ref="B434:BD434" si="74">1-B378</f>
        <v>0.9933111156591431</v>
      </c>
      <c r="C434">
        <f t="shared" si="74"/>
        <v>0.81953012626853738</v>
      </c>
      <c r="D434">
        <f t="shared" si="74"/>
        <v>0.9261011970346309</v>
      </c>
      <c r="E434">
        <f t="shared" si="74"/>
        <v>0.98394933984094624</v>
      </c>
      <c r="F434">
        <f t="shared" si="74"/>
        <v>0.851054531923501</v>
      </c>
      <c r="G434">
        <f t="shared" si="74"/>
        <v>0.29574591937765682</v>
      </c>
      <c r="H434">
        <f t="shared" si="74"/>
        <v>1.0152585132340068</v>
      </c>
      <c r="I434">
        <f t="shared" si="74"/>
        <v>0</v>
      </c>
      <c r="J434">
        <f t="shared" si="74"/>
        <v>0.78707909823029387</v>
      </c>
      <c r="K434">
        <f t="shared" si="74"/>
        <v>1.018745079765484</v>
      </c>
      <c r="L434">
        <f t="shared" si="74"/>
        <v>0.83132299210988481</v>
      </c>
      <c r="M434">
        <f t="shared" si="74"/>
        <v>0.70945133876542199</v>
      </c>
      <c r="N434">
        <f t="shared" si="74"/>
        <v>0.94031965155166064</v>
      </c>
      <c r="O434">
        <f t="shared" si="74"/>
        <v>0.79217698118607927</v>
      </c>
      <c r="P434">
        <f t="shared" si="74"/>
        <v>0.86473317636932545</v>
      </c>
      <c r="Q434">
        <f t="shared" si="74"/>
        <v>0.80579454648657034</v>
      </c>
      <c r="R434">
        <f t="shared" si="74"/>
        <v>0.93952872773846163</v>
      </c>
      <c r="S434">
        <f t="shared" si="74"/>
        <v>0.96474213365126948</v>
      </c>
      <c r="T434">
        <f t="shared" si="74"/>
        <v>0.84820576871114528</v>
      </c>
      <c r="U434">
        <f t="shared" si="74"/>
        <v>1.0127563816429126</v>
      </c>
      <c r="V434">
        <f t="shared" si="74"/>
        <v>0.85500814807005066</v>
      </c>
      <c r="W434">
        <f t="shared" si="74"/>
        <v>1.0297750304049929</v>
      </c>
      <c r="X434">
        <f t="shared" si="74"/>
        <v>0.82938293815258912</v>
      </c>
      <c r="Y434">
        <f t="shared" si="74"/>
        <v>1.005089613183439</v>
      </c>
      <c r="Z434">
        <f t="shared" si="74"/>
        <v>0.91955162791624057</v>
      </c>
      <c r="AA434">
        <f t="shared" si="74"/>
        <v>0.86539177155431424</v>
      </c>
      <c r="AB434">
        <f t="shared" si="74"/>
        <v>0.95489483688365762</v>
      </c>
      <c r="AC434">
        <f t="shared" si="74"/>
        <v>0.83862802470377118</v>
      </c>
      <c r="AD434">
        <f t="shared" si="74"/>
        <v>0.69499765917455814</v>
      </c>
      <c r="AE434">
        <f t="shared" si="74"/>
        <v>0.6166920498512668</v>
      </c>
      <c r="AF434">
        <f t="shared" si="74"/>
        <v>0.92642583800386424</v>
      </c>
      <c r="AG434">
        <f t="shared" si="74"/>
        <v>0.84114415060481618</v>
      </c>
      <c r="AH434">
        <f t="shared" si="74"/>
        <v>1.0199609151771432</v>
      </c>
      <c r="AI434">
        <f t="shared" si="74"/>
        <v>0.88492266012937004</v>
      </c>
      <c r="AJ434">
        <f t="shared" si="74"/>
        <v>0.92101878393615233</v>
      </c>
      <c r="AK434">
        <f t="shared" si="74"/>
        <v>0.80197988777054885</v>
      </c>
      <c r="AL434">
        <f t="shared" si="74"/>
        <v>1.0297165048054122</v>
      </c>
      <c r="AM434">
        <f t="shared" si="74"/>
        <v>1.055353184818665</v>
      </c>
      <c r="AN434">
        <f t="shared" si="74"/>
        <v>1.0604022685883727</v>
      </c>
      <c r="AO434">
        <f t="shared" si="74"/>
        <v>0.94812377366006939</v>
      </c>
      <c r="AP434">
        <f t="shared" si="74"/>
        <v>0.97076748342501773</v>
      </c>
      <c r="AQ434">
        <f t="shared" si="74"/>
        <v>0.90857994924483987</v>
      </c>
      <c r="AR434">
        <f t="shared" si="74"/>
        <v>0.82204334004924862</v>
      </c>
      <c r="AS434">
        <f t="shared" si="74"/>
        <v>0.88310987982933142</v>
      </c>
      <c r="AT434">
        <f t="shared" si="74"/>
        <v>0.81155219876666829</v>
      </c>
      <c r="AU434">
        <f t="shared" si="74"/>
        <v>0.99259463814052895</v>
      </c>
      <c r="AV434">
        <f t="shared" si="74"/>
        <v>0.96705209630125621</v>
      </c>
      <c r="AW434">
        <f t="shared" si="74"/>
        <v>0.87367081312437467</v>
      </c>
      <c r="AX434">
        <f t="shared" si="74"/>
        <v>0.10729479518856067</v>
      </c>
      <c r="AY434">
        <f t="shared" si="74"/>
        <v>0.83127009370432092</v>
      </c>
      <c r="AZ434">
        <f t="shared" si="74"/>
        <v>1.0453040153386171</v>
      </c>
      <c r="BA434">
        <f t="shared" si="74"/>
        <v>1.189392778834865</v>
      </c>
      <c r="BB434">
        <f t="shared" si="74"/>
        <v>0.76468688611076863</v>
      </c>
      <c r="BC434">
        <f t="shared" si="74"/>
        <v>0.91748575496109486</v>
      </c>
      <c r="BD434">
        <f t="shared" si="74"/>
        <v>0.83669222899239837</v>
      </c>
    </row>
    <row r="435" spans="1:56" x14ac:dyDescent="0.2">
      <c r="A435">
        <v>9</v>
      </c>
      <c r="B435">
        <f t="shared" ref="B435:BD435" si="75">1-B379</f>
        <v>0.66359601232039289</v>
      </c>
      <c r="C435">
        <f t="shared" si="75"/>
        <v>0.61503107519286504</v>
      </c>
      <c r="D435">
        <f t="shared" si="75"/>
        <v>0.54679006796448182</v>
      </c>
      <c r="E435">
        <f t="shared" si="75"/>
        <v>0.97225428705859507</v>
      </c>
      <c r="F435">
        <f t="shared" si="75"/>
        <v>0.72278705275490496</v>
      </c>
      <c r="G435">
        <f t="shared" si="75"/>
        <v>0.80701876947850493</v>
      </c>
      <c r="H435">
        <f t="shared" si="75"/>
        <v>1.004204663892218</v>
      </c>
      <c r="I435">
        <f t="shared" si="75"/>
        <v>0.78707909823029387</v>
      </c>
      <c r="J435">
        <f t="shared" si="75"/>
        <v>0</v>
      </c>
      <c r="K435">
        <f t="shared" si="75"/>
        <v>0.5941736373256421</v>
      </c>
      <c r="L435">
        <f t="shared" si="75"/>
        <v>0.63705647792436038</v>
      </c>
      <c r="M435">
        <f t="shared" si="75"/>
        <v>0.94218492342346649</v>
      </c>
      <c r="N435">
        <f t="shared" si="75"/>
        <v>0.97994637812330931</v>
      </c>
      <c r="O435">
        <f t="shared" si="75"/>
        <v>0.92360380340287107</v>
      </c>
      <c r="P435">
        <f t="shared" si="75"/>
        <v>0.43297688341574636</v>
      </c>
      <c r="Q435">
        <f t="shared" si="75"/>
        <v>0.50866684137542661</v>
      </c>
      <c r="R435">
        <f t="shared" si="75"/>
        <v>0.55583141140302528</v>
      </c>
      <c r="S435">
        <f t="shared" si="75"/>
        <v>0.58516574422326462</v>
      </c>
      <c r="T435">
        <f t="shared" si="75"/>
        <v>0.60820117235063265</v>
      </c>
      <c r="U435">
        <f t="shared" si="75"/>
        <v>0.86337092639572688</v>
      </c>
      <c r="V435">
        <f t="shared" si="75"/>
        <v>0.57748032922033099</v>
      </c>
      <c r="W435">
        <f t="shared" si="75"/>
        <v>0.66509463381593492</v>
      </c>
      <c r="X435">
        <f t="shared" si="75"/>
        <v>0.70945310631671998</v>
      </c>
      <c r="Y435">
        <f t="shared" si="75"/>
        <v>0.7097744854549517</v>
      </c>
      <c r="Z435">
        <f t="shared" si="75"/>
        <v>0.69303860517628113</v>
      </c>
      <c r="AA435">
        <f t="shared" si="75"/>
        <v>0.57669391469202047</v>
      </c>
      <c r="AB435">
        <f t="shared" si="75"/>
        <v>1.1605810857343282</v>
      </c>
      <c r="AC435">
        <f t="shared" si="75"/>
        <v>0.65585025569114497</v>
      </c>
      <c r="AD435">
        <f t="shared" si="75"/>
        <v>0.80988917262181548</v>
      </c>
      <c r="AE435">
        <f t="shared" si="75"/>
        <v>0.64713105293627482</v>
      </c>
      <c r="AF435">
        <f t="shared" si="75"/>
        <v>0.74971278704275279</v>
      </c>
      <c r="AG435">
        <f t="shared" si="75"/>
        <v>0.75905185552523724</v>
      </c>
      <c r="AH435">
        <f t="shared" si="75"/>
        <v>0.75361824142058798</v>
      </c>
      <c r="AI435">
        <f t="shared" si="75"/>
        <v>0.77833661701609591</v>
      </c>
      <c r="AJ435">
        <f t="shared" si="75"/>
        <v>0.57811565558224065</v>
      </c>
      <c r="AK435">
        <f t="shared" si="75"/>
        <v>0.89212747006676896</v>
      </c>
      <c r="AL435">
        <f t="shared" si="75"/>
        <v>0.6933163265527541</v>
      </c>
      <c r="AM435">
        <f t="shared" si="75"/>
        <v>0.80628569669474359</v>
      </c>
      <c r="AN435">
        <f t="shared" si="75"/>
        <v>0.81198958722456194</v>
      </c>
      <c r="AO435">
        <f t="shared" si="75"/>
        <v>0.85482038065792132</v>
      </c>
      <c r="AP435">
        <f t="shared" si="75"/>
        <v>0.74730283124137131</v>
      </c>
      <c r="AQ435">
        <f t="shared" si="75"/>
        <v>0.77107051883148892</v>
      </c>
      <c r="AR435">
        <f t="shared" si="75"/>
        <v>0.55678354359284876</v>
      </c>
      <c r="AS435">
        <f t="shared" si="75"/>
        <v>0.55407430068741048</v>
      </c>
      <c r="AT435">
        <f t="shared" si="75"/>
        <v>0.48943885397323161</v>
      </c>
      <c r="AU435">
        <f t="shared" si="75"/>
        <v>0.99378962038514296</v>
      </c>
      <c r="AV435">
        <f t="shared" si="75"/>
        <v>0.95144761025618174</v>
      </c>
      <c r="AW435">
        <f t="shared" si="75"/>
        <v>0.46816292069384879</v>
      </c>
      <c r="AX435">
        <f t="shared" si="75"/>
        <v>0.79098383965373664</v>
      </c>
      <c r="AY435">
        <f t="shared" si="75"/>
        <v>1.0368891929066197</v>
      </c>
      <c r="AZ435">
        <f t="shared" si="75"/>
        <v>1.0848282654229418</v>
      </c>
      <c r="BA435">
        <f t="shared" si="75"/>
        <v>1.0212629562276436</v>
      </c>
      <c r="BB435">
        <f t="shared" si="75"/>
        <v>0.45690684775757229</v>
      </c>
      <c r="BC435">
        <f t="shared" si="75"/>
        <v>0.67097011289631958</v>
      </c>
      <c r="BD435">
        <f t="shared" si="75"/>
        <v>0.40724632695787388</v>
      </c>
    </row>
    <row r="436" spans="1:56" x14ac:dyDescent="0.2">
      <c r="A436">
        <v>10</v>
      </c>
      <c r="B436">
        <f t="shared" ref="B436:BD436" si="76">1-B380</f>
        <v>0.51671259609031939</v>
      </c>
      <c r="C436">
        <f t="shared" si="76"/>
        <v>0.62882807353938275</v>
      </c>
      <c r="D436">
        <f t="shared" si="76"/>
        <v>0.49379836875459016</v>
      </c>
      <c r="E436">
        <f t="shared" si="76"/>
        <v>0.61317777431690668</v>
      </c>
      <c r="F436">
        <f t="shared" si="76"/>
        <v>0.96607511653676292</v>
      </c>
      <c r="G436">
        <f t="shared" si="76"/>
        <v>1.030776016386685</v>
      </c>
      <c r="H436">
        <f t="shared" si="76"/>
        <v>0.90422888915796018</v>
      </c>
      <c r="I436">
        <f t="shared" si="76"/>
        <v>1.018745079765484</v>
      </c>
      <c r="J436">
        <f t="shared" si="76"/>
        <v>0.5941736373256421</v>
      </c>
      <c r="K436">
        <f t="shared" si="76"/>
        <v>0</v>
      </c>
      <c r="L436">
        <f t="shared" si="76"/>
        <v>0.59488228557400313</v>
      </c>
      <c r="M436">
        <f t="shared" si="76"/>
        <v>1.0235986490100577</v>
      </c>
      <c r="N436">
        <f t="shared" si="76"/>
        <v>0.96900333642805381</v>
      </c>
      <c r="O436">
        <f t="shared" si="76"/>
        <v>1.1388889824435342</v>
      </c>
      <c r="P436">
        <f t="shared" si="76"/>
        <v>0.53323305742988758</v>
      </c>
      <c r="Q436">
        <f t="shared" si="76"/>
        <v>0.71269992809347427</v>
      </c>
      <c r="R436">
        <f t="shared" si="76"/>
        <v>0.55240423664323324</v>
      </c>
      <c r="S436">
        <f t="shared" si="76"/>
        <v>0.44436486730736935</v>
      </c>
      <c r="T436">
        <f t="shared" si="76"/>
        <v>0.53667238381783833</v>
      </c>
      <c r="U436">
        <f t="shared" si="76"/>
        <v>0.51090384829689506</v>
      </c>
      <c r="V436">
        <f t="shared" si="76"/>
        <v>0.39127092600786895</v>
      </c>
      <c r="W436">
        <f t="shared" si="76"/>
        <v>0.47202365629750365</v>
      </c>
      <c r="X436">
        <f t="shared" si="76"/>
        <v>0.69005061455393546</v>
      </c>
      <c r="Y436">
        <f t="shared" si="76"/>
        <v>0.46102977504657872</v>
      </c>
      <c r="Z436">
        <f t="shared" si="76"/>
        <v>0.68908732820707042</v>
      </c>
      <c r="AA436">
        <f t="shared" si="76"/>
        <v>0.38306595685320344</v>
      </c>
      <c r="AB436">
        <f t="shared" si="76"/>
        <v>1.1407672275701177</v>
      </c>
      <c r="AC436">
        <f t="shared" si="76"/>
        <v>0.53122334096811996</v>
      </c>
      <c r="AD436">
        <f t="shared" si="76"/>
        <v>1.069932795020913</v>
      </c>
      <c r="AE436">
        <f t="shared" si="76"/>
        <v>0.68151356486004566</v>
      </c>
      <c r="AF436">
        <f t="shared" si="76"/>
        <v>0.57069498178364686</v>
      </c>
      <c r="AG436">
        <f t="shared" si="76"/>
        <v>0.76496985340131818</v>
      </c>
      <c r="AH436">
        <f t="shared" si="76"/>
        <v>0.58521052802684248</v>
      </c>
      <c r="AI436">
        <f t="shared" si="76"/>
        <v>0.6223915465066362</v>
      </c>
      <c r="AJ436">
        <f t="shared" si="76"/>
        <v>0.53534776543474605</v>
      </c>
      <c r="AK436">
        <f t="shared" si="76"/>
        <v>0.55612607325035412</v>
      </c>
      <c r="AL436">
        <f t="shared" si="76"/>
        <v>0.57339099011662586</v>
      </c>
      <c r="AM436">
        <f t="shared" si="76"/>
        <v>0.47897356098681354</v>
      </c>
      <c r="AN436">
        <f t="shared" si="76"/>
        <v>0.47616404016456448</v>
      </c>
      <c r="AO436">
        <f t="shared" si="76"/>
        <v>1.3015088594705517</v>
      </c>
      <c r="AP436">
        <f t="shared" si="76"/>
        <v>0.90611722734545408</v>
      </c>
      <c r="AQ436">
        <f t="shared" si="76"/>
        <v>0.64777370577819182</v>
      </c>
      <c r="AR436">
        <f t="shared" si="76"/>
        <v>0.65219471194361756</v>
      </c>
      <c r="AS436">
        <f t="shared" si="76"/>
        <v>0.57287191313733066</v>
      </c>
      <c r="AT436">
        <f t="shared" si="76"/>
        <v>0.68888351239560652</v>
      </c>
      <c r="AU436">
        <f t="shared" si="76"/>
        <v>0.745696002861301</v>
      </c>
      <c r="AV436">
        <f t="shared" si="76"/>
        <v>0.98522169657214553</v>
      </c>
      <c r="AW436">
        <f t="shared" si="76"/>
        <v>0.54028550788231111</v>
      </c>
      <c r="AX436">
        <f t="shared" si="76"/>
        <v>1.0397648489396094</v>
      </c>
      <c r="AY436">
        <f t="shared" si="76"/>
        <v>1.1908014084865757</v>
      </c>
      <c r="AZ436">
        <f t="shared" si="76"/>
        <v>0.97934299420916593</v>
      </c>
      <c r="BA436">
        <f t="shared" si="76"/>
        <v>0.99167151077087434</v>
      </c>
      <c r="BB436">
        <f t="shared" si="76"/>
        <v>0.51215772067226972</v>
      </c>
      <c r="BC436">
        <f t="shared" si="76"/>
        <v>0.55995804307028252</v>
      </c>
      <c r="BD436">
        <f t="shared" si="76"/>
        <v>0.40931492209017983</v>
      </c>
    </row>
    <row r="437" spans="1:56" x14ac:dyDescent="0.2">
      <c r="A437">
        <v>11</v>
      </c>
      <c r="B437">
        <f t="shared" ref="B437:BD437" si="77">1-B381</f>
        <v>0.81809152181481548</v>
      </c>
      <c r="C437">
        <f t="shared" si="77"/>
        <v>0.82560435905136731</v>
      </c>
      <c r="D437">
        <f t="shared" si="77"/>
        <v>0.72922354762960651</v>
      </c>
      <c r="E437">
        <f t="shared" si="77"/>
        <v>0.83882552933647614</v>
      </c>
      <c r="F437">
        <f t="shared" si="77"/>
        <v>0.95539549221445752</v>
      </c>
      <c r="G437">
        <f t="shared" si="77"/>
        <v>0.81649841880102081</v>
      </c>
      <c r="H437">
        <f t="shared" si="77"/>
        <v>0.98969085051783379</v>
      </c>
      <c r="I437">
        <f t="shared" si="77"/>
        <v>0.83132299210988481</v>
      </c>
      <c r="J437">
        <f t="shared" si="77"/>
        <v>0.63705647792436038</v>
      </c>
      <c r="K437">
        <f t="shared" si="77"/>
        <v>0.59488228557400313</v>
      </c>
      <c r="L437">
        <f t="shared" si="77"/>
        <v>0</v>
      </c>
      <c r="M437">
        <f t="shared" si="77"/>
        <v>0.94482818182773165</v>
      </c>
      <c r="N437">
        <f t="shared" si="77"/>
        <v>0.8762695784247595</v>
      </c>
      <c r="O437">
        <f t="shared" si="77"/>
        <v>0.87248376750343315</v>
      </c>
      <c r="P437">
        <f t="shared" si="77"/>
        <v>0.62082818340508472</v>
      </c>
      <c r="Q437">
        <f t="shared" si="77"/>
        <v>0.72850988838158826</v>
      </c>
      <c r="R437">
        <f t="shared" si="77"/>
        <v>0.71853431680990854</v>
      </c>
      <c r="S437">
        <f t="shared" si="77"/>
        <v>0.5537389460411315</v>
      </c>
      <c r="T437">
        <f t="shared" si="77"/>
        <v>0.84563532377358197</v>
      </c>
      <c r="U437">
        <f t="shared" si="77"/>
        <v>0.84768635899656786</v>
      </c>
      <c r="V437">
        <f t="shared" si="77"/>
        <v>0.76428576737561937</v>
      </c>
      <c r="W437">
        <f t="shared" si="77"/>
        <v>0.84115447380496489</v>
      </c>
      <c r="X437">
        <f t="shared" si="77"/>
        <v>0.8076520822339005</v>
      </c>
      <c r="Y437">
        <f t="shared" si="77"/>
        <v>0.83067677012748098</v>
      </c>
      <c r="Z437">
        <f t="shared" si="77"/>
        <v>0.73597408615724813</v>
      </c>
      <c r="AA437">
        <f t="shared" si="77"/>
        <v>0.78730307113055453</v>
      </c>
      <c r="AB437">
        <f t="shared" si="77"/>
        <v>1.1626155450883879</v>
      </c>
      <c r="AC437">
        <f t="shared" si="77"/>
        <v>0.61615159907449013</v>
      </c>
      <c r="AD437">
        <f t="shared" si="77"/>
        <v>0.87836288342804059</v>
      </c>
      <c r="AE437">
        <f t="shared" si="77"/>
        <v>0.81623549913681248</v>
      </c>
      <c r="AF437">
        <f t="shared" si="77"/>
        <v>0.90979691029496745</v>
      </c>
      <c r="AG437">
        <f t="shared" si="77"/>
        <v>0.89779614511958972</v>
      </c>
      <c r="AH437">
        <f t="shared" si="77"/>
        <v>0.93037883687530987</v>
      </c>
      <c r="AI437">
        <f t="shared" si="77"/>
        <v>0.71306910772391707</v>
      </c>
      <c r="AJ437">
        <f t="shared" si="77"/>
        <v>0.57991674278879257</v>
      </c>
      <c r="AK437">
        <f t="shared" si="77"/>
        <v>0.80965651816001216</v>
      </c>
      <c r="AL437">
        <f t="shared" si="77"/>
        <v>0.77885187433941128</v>
      </c>
      <c r="AM437">
        <f t="shared" si="77"/>
        <v>0.90053849030854727</v>
      </c>
      <c r="AN437">
        <f t="shared" si="77"/>
        <v>0.91067047913143095</v>
      </c>
      <c r="AO437">
        <f t="shared" si="77"/>
        <v>0.90994563946786622</v>
      </c>
      <c r="AP437">
        <f t="shared" si="77"/>
        <v>0.83814504805578682</v>
      </c>
      <c r="AQ437">
        <f t="shared" si="77"/>
        <v>0.86923819106882894</v>
      </c>
      <c r="AR437">
        <f t="shared" si="77"/>
        <v>0.72508413243620962</v>
      </c>
      <c r="AS437">
        <f t="shared" si="77"/>
        <v>0.78853742241818237</v>
      </c>
      <c r="AT437">
        <f t="shared" si="77"/>
        <v>0.68354894216688511</v>
      </c>
      <c r="AU437">
        <f t="shared" si="77"/>
        <v>0.9028055909937559</v>
      </c>
      <c r="AV437">
        <f t="shared" si="77"/>
        <v>0.93148729539932029</v>
      </c>
      <c r="AW437">
        <f t="shared" si="77"/>
        <v>0.72760326120630725</v>
      </c>
      <c r="AX437">
        <f t="shared" si="77"/>
        <v>0.8319879736831739</v>
      </c>
      <c r="AY437">
        <f t="shared" si="77"/>
        <v>1.0291877625842702</v>
      </c>
      <c r="AZ437">
        <f t="shared" si="77"/>
        <v>1.0423509064899232</v>
      </c>
      <c r="BA437">
        <f t="shared" si="77"/>
        <v>1.0108441481139547</v>
      </c>
      <c r="BB437">
        <f t="shared" si="77"/>
        <v>0.61715278308955668</v>
      </c>
      <c r="BC437">
        <f t="shared" si="77"/>
        <v>0.75851427266893401</v>
      </c>
      <c r="BD437">
        <f t="shared" si="77"/>
        <v>0.32183312403789321</v>
      </c>
    </row>
    <row r="438" spans="1:56" x14ac:dyDescent="0.2">
      <c r="A438">
        <v>12</v>
      </c>
      <c r="B438">
        <f t="shared" ref="B438:BD438" si="78">1-B382</f>
        <v>0.96036465921565561</v>
      </c>
      <c r="C438">
        <f t="shared" si="78"/>
        <v>0.95530882737078471</v>
      </c>
      <c r="D438">
        <f t="shared" si="78"/>
        <v>0.95585836532522317</v>
      </c>
      <c r="E438">
        <f t="shared" si="78"/>
        <v>1.0359172799429461</v>
      </c>
      <c r="F438">
        <f t="shared" si="78"/>
        <v>0.98115532122790072</v>
      </c>
      <c r="G438">
        <f t="shared" si="78"/>
        <v>0.61331084711445483</v>
      </c>
      <c r="H438">
        <f t="shared" si="78"/>
        <v>1.0755924532557841</v>
      </c>
      <c r="I438">
        <f t="shared" si="78"/>
        <v>0.70945133876542199</v>
      </c>
      <c r="J438">
        <f t="shared" si="78"/>
        <v>0.94218492342346649</v>
      </c>
      <c r="K438">
        <f t="shared" si="78"/>
        <v>1.0235986490100577</v>
      </c>
      <c r="L438">
        <f t="shared" si="78"/>
        <v>0.94482818182773165</v>
      </c>
      <c r="M438">
        <f t="shared" si="78"/>
        <v>0</v>
      </c>
      <c r="N438">
        <f t="shared" si="78"/>
        <v>0.4864564857803978</v>
      </c>
      <c r="O438">
        <f t="shared" si="78"/>
        <v>0.85619032890137459</v>
      </c>
      <c r="P438">
        <f t="shared" si="78"/>
        <v>0.97046894918381488</v>
      </c>
      <c r="Q438">
        <f t="shared" si="78"/>
        <v>0.98677059953573998</v>
      </c>
      <c r="R438">
        <f t="shared" si="78"/>
        <v>1.0246846581138325</v>
      </c>
      <c r="S438">
        <f t="shared" si="78"/>
        <v>0.91133432647308477</v>
      </c>
      <c r="T438">
        <f t="shared" si="78"/>
        <v>0.99760199190908672</v>
      </c>
      <c r="U438">
        <f t="shared" si="78"/>
        <v>0.92902992135699691</v>
      </c>
      <c r="V438">
        <f t="shared" si="78"/>
        <v>0.94601203476559903</v>
      </c>
      <c r="W438">
        <f t="shared" si="78"/>
        <v>0.93728948841658677</v>
      </c>
      <c r="X438">
        <f t="shared" si="78"/>
        <v>0.98912603495141704</v>
      </c>
      <c r="Y438">
        <f t="shared" si="78"/>
        <v>0.99344798159384706</v>
      </c>
      <c r="Z438">
        <f t="shared" si="78"/>
        <v>0.89662768632161227</v>
      </c>
      <c r="AA438">
        <f t="shared" si="78"/>
        <v>0.96730056395048636</v>
      </c>
      <c r="AB438">
        <f t="shared" si="78"/>
        <v>0.92891810105744488</v>
      </c>
      <c r="AC438">
        <f t="shared" si="78"/>
        <v>0.90639366341506133</v>
      </c>
      <c r="AD438">
        <f t="shared" si="78"/>
        <v>0.89255257914335095</v>
      </c>
      <c r="AE438">
        <f t="shared" si="78"/>
        <v>0.90647368477674761</v>
      </c>
      <c r="AF438">
        <f t="shared" si="78"/>
        <v>1.0122049381299882</v>
      </c>
      <c r="AG438">
        <f t="shared" si="78"/>
        <v>0.83068565457811483</v>
      </c>
      <c r="AH438">
        <f t="shared" si="78"/>
        <v>1.0597265196249206</v>
      </c>
      <c r="AI438">
        <f t="shared" si="78"/>
        <v>0.94575774968302972</v>
      </c>
      <c r="AJ438">
        <f t="shared" si="78"/>
        <v>0.96539378744815163</v>
      </c>
      <c r="AK438">
        <f t="shared" si="78"/>
        <v>0.7945159850806327</v>
      </c>
      <c r="AL438">
        <f t="shared" si="78"/>
        <v>1.016334251853148</v>
      </c>
      <c r="AM438">
        <f t="shared" si="78"/>
        <v>0.92387120421672453</v>
      </c>
      <c r="AN438">
        <f t="shared" si="78"/>
        <v>0.94831494911124481</v>
      </c>
      <c r="AO438">
        <f t="shared" si="78"/>
        <v>1.1673839175360849</v>
      </c>
      <c r="AP438">
        <f t="shared" si="78"/>
        <v>0.97594939286286253</v>
      </c>
      <c r="AQ438">
        <f t="shared" si="78"/>
        <v>0.9669576537347232</v>
      </c>
      <c r="AR438">
        <f t="shared" si="78"/>
        <v>1.003930512959087</v>
      </c>
      <c r="AS438">
        <f t="shared" si="78"/>
        <v>0.98078481502131953</v>
      </c>
      <c r="AT438">
        <f t="shared" si="78"/>
        <v>0.86777820906156777</v>
      </c>
      <c r="AU438">
        <f t="shared" si="78"/>
        <v>1.0335417428975744</v>
      </c>
      <c r="AV438">
        <f t="shared" si="78"/>
        <v>0.9531886697321259</v>
      </c>
      <c r="AW438">
        <f t="shared" si="78"/>
        <v>0.96417446591317024</v>
      </c>
      <c r="AX438">
        <f t="shared" si="78"/>
        <v>0.71153286209823574</v>
      </c>
      <c r="AY438">
        <f t="shared" si="78"/>
        <v>1.0167194466938376</v>
      </c>
      <c r="AZ438">
        <f t="shared" si="78"/>
        <v>1.1146012375717569</v>
      </c>
      <c r="BA438">
        <f t="shared" si="78"/>
        <v>1.0822593966009695</v>
      </c>
      <c r="BB438">
        <f t="shared" si="78"/>
        <v>0.97777721659926753</v>
      </c>
      <c r="BC438">
        <f t="shared" si="78"/>
        <v>0.91319220934139855</v>
      </c>
      <c r="BD438">
        <f t="shared" si="78"/>
        <v>0.95630697969398326</v>
      </c>
    </row>
    <row r="439" spans="1:56" x14ac:dyDescent="0.2">
      <c r="A439">
        <v>13</v>
      </c>
      <c r="B439">
        <f t="shared" ref="B439:BD439" si="79">1-B383</f>
        <v>0.9571873904118543</v>
      </c>
      <c r="C439">
        <f t="shared" si="79"/>
        <v>0.95778546797004427</v>
      </c>
      <c r="D439">
        <f t="shared" si="79"/>
        <v>0.96552881754658748</v>
      </c>
      <c r="E439">
        <f t="shared" si="79"/>
        <v>0.99896533393738518</v>
      </c>
      <c r="F439">
        <f t="shared" si="79"/>
        <v>0.9875007815237169</v>
      </c>
      <c r="G439">
        <f t="shared" si="79"/>
        <v>0.9930582817385003</v>
      </c>
      <c r="H439">
        <f t="shared" si="79"/>
        <v>0.99393036819121983</v>
      </c>
      <c r="I439">
        <f t="shared" si="79"/>
        <v>0.94031965155166064</v>
      </c>
      <c r="J439">
        <f t="shared" si="79"/>
        <v>0.97994637812330931</v>
      </c>
      <c r="K439">
        <f t="shared" si="79"/>
        <v>0.96900333642805381</v>
      </c>
      <c r="L439">
        <f t="shared" si="79"/>
        <v>0.8762695784247595</v>
      </c>
      <c r="M439">
        <f t="shared" si="79"/>
        <v>0.4864564857803978</v>
      </c>
      <c r="N439">
        <f t="shared" si="79"/>
        <v>0</v>
      </c>
      <c r="O439">
        <f t="shared" si="79"/>
        <v>0.93381347461718212</v>
      </c>
      <c r="P439">
        <f t="shared" si="79"/>
        <v>0.94195070219994603</v>
      </c>
      <c r="Q439">
        <f t="shared" si="79"/>
        <v>0.98685373526224562</v>
      </c>
      <c r="R439">
        <f t="shared" si="79"/>
        <v>1.0091728239138225</v>
      </c>
      <c r="S439">
        <f t="shared" si="79"/>
        <v>0.8608937963812161</v>
      </c>
      <c r="T439">
        <f t="shared" si="79"/>
        <v>0.95332631728241946</v>
      </c>
      <c r="U439">
        <f t="shared" si="79"/>
        <v>0.89175080057523648</v>
      </c>
      <c r="V439">
        <f t="shared" si="79"/>
        <v>0.93994528596297477</v>
      </c>
      <c r="W439">
        <f t="shared" si="79"/>
        <v>0.88363999635135315</v>
      </c>
      <c r="X439">
        <f t="shared" si="79"/>
        <v>1.0420991824562897</v>
      </c>
      <c r="Y439">
        <f t="shared" si="79"/>
        <v>0.99984496193256089</v>
      </c>
      <c r="Z439">
        <f t="shared" si="79"/>
        <v>0.79392563591631504</v>
      </c>
      <c r="AA439">
        <f t="shared" si="79"/>
        <v>0.9675878798023464</v>
      </c>
      <c r="AB439">
        <f t="shared" si="79"/>
        <v>0.90310572281937462</v>
      </c>
      <c r="AC439">
        <f t="shared" si="79"/>
        <v>0.92493099965185566</v>
      </c>
      <c r="AD439">
        <f t="shared" si="79"/>
        <v>0.95104296495367935</v>
      </c>
      <c r="AE439">
        <f t="shared" si="79"/>
        <v>0.9804207072290293</v>
      </c>
      <c r="AF439">
        <f t="shared" si="79"/>
        <v>0.96120752710358359</v>
      </c>
      <c r="AG439">
        <f t="shared" si="79"/>
        <v>0.93135765174567786</v>
      </c>
      <c r="AH439">
        <f t="shared" si="79"/>
        <v>1.1558733581876002</v>
      </c>
      <c r="AI439">
        <f t="shared" si="79"/>
        <v>0.98396596480981791</v>
      </c>
      <c r="AJ439">
        <f t="shared" si="79"/>
        <v>1.004736996746687</v>
      </c>
      <c r="AK439">
        <f t="shared" si="79"/>
        <v>0.72115215805619859</v>
      </c>
      <c r="AL439">
        <f t="shared" si="79"/>
        <v>1.0755802910262273</v>
      </c>
      <c r="AM439">
        <f t="shared" si="79"/>
        <v>0.90389240038958518</v>
      </c>
      <c r="AN439">
        <f t="shared" si="79"/>
        <v>0.92393233023254462</v>
      </c>
      <c r="AO439">
        <f t="shared" si="79"/>
        <v>1.1015160884801924</v>
      </c>
      <c r="AP439">
        <f t="shared" si="79"/>
        <v>1.0491942581092997</v>
      </c>
      <c r="AQ439">
        <f t="shared" si="79"/>
        <v>1.0137236165188226</v>
      </c>
      <c r="AR439">
        <f t="shared" si="79"/>
        <v>0.98769649520911418</v>
      </c>
      <c r="AS439">
        <f t="shared" si="79"/>
        <v>0.96087886662164246</v>
      </c>
      <c r="AT439">
        <f t="shared" si="79"/>
        <v>0.9260415241593597</v>
      </c>
      <c r="AU439">
        <f t="shared" si="79"/>
        <v>0.94898299258723018</v>
      </c>
      <c r="AV439">
        <f t="shared" si="79"/>
        <v>0.97920978520405033</v>
      </c>
      <c r="AW439">
        <f t="shared" si="79"/>
        <v>0.97133648922178406</v>
      </c>
      <c r="AX439">
        <f t="shared" si="79"/>
        <v>0.96849554864736775</v>
      </c>
      <c r="AY439">
        <f t="shared" si="79"/>
        <v>1.0353526312563344</v>
      </c>
      <c r="AZ439">
        <f t="shared" si="79"/>
        <v>1.0887951020438118</v>
      </c>
      <c r="BA439">
        <f t="shared" si="79"/>
        <v>1.0655557946482999</v>
      </c>
      <c r="BB439">
        <f t="shared" si="79"/>
        <v>0.9841769454223358</v>
      </c>
      <c r="BC439">
        <f t="shared" si="79"/>
        <v>0.88905232686800495</v>
      </c>
      <c r="BD439">
        <f t="shared" si="79"/>
        <v>0.9798678765146468</v>
      </c>
    </row>
    <row r="440" spans="1:56" x14ac:dyDescent="0.2">
      <c r="A440">
        <v>14</v>
      </c>
      <c r="B440">
        <f t="shared" ref="B440:BD440" si="80">1-B384</f>
        <v>1.0302730422312056</v>
      </c>
      <c r="C440">
        <f t="shared" si="80"/>
        <v>1.056385275785058</v>
      </c>
      <c r="D440">
        <f t="shared" si="80"/>
        <v>0.99080774915818215</v>
      </c>
      <c r="E440">
        <f t="shared" si="80"/>
        <v>1.0262613714083542</v>
      </c>
      <c r="F440">
        <f t="shared" si="80"/>
        <v>0.86564714557123379</v>
      </c>
      <c r="G440">
        <f t="shared" si="80"/>
        <v>0.64412946859657882</v>
      </c>
      <c r="H440">
        <f t="shared" si="80"/>
        <v>0.96078845876796515</v>
      </c>
      <c r="I440">
        <f t="shared" si="80"/>
        <v>0.79217698118607927</v>
      </c>
      <c r="J440">
        <f t="shared" si="80"/>
        <v>0.92360380340287107</v>
      </c>
      <c r="K440">
        <f t="shared" si="80"/>
        <v>1.1388889824435342</v>
      </c>
      <c r="L440">
        <f t="shared" si="80"/>
        <v>0.87248376750343315</v>
      </c>
      <c r="M440">
        <f t="shared" si="80"/>
        <v>0.85619032890137459</v>
      </c>
      <c r="N440">
        <f t="shared" si="80"/>
        <v>0.93381347461718212</v>
      </c>
      <c r="O440">
        <f t="shared" si="80"/>
        <v>0</v>
      </c>
      <c r="P440">
        <f t="shared" si="80"/>
        <v>0.97079523470190732</v>
      </c>
      <c r="Q440">
        <f t="shared" si="80"/>
        <v>1.0405819671505647</v>
      </c>
      <c r="R440">
        <f t="shared" si="80"/>
        <v>0.98491302933871006</v>
      </c>
      <c r="S440">
        <f t="shared" si="80"/>
        <v>1.1367463725641407</v>
      </c>
      <c r="T440">
        <f t="shared" si="80"/>
        <v>1.0342988863223184</v>
      </c>
      <c r="U440">
        <f t="shared" si="80"/>
        <v>1.0124841703022001</v>
      </c>
      <c r="V440">
        <f t="shared" si="80"/>
        <v>1.0058100572207602</v>
      </c>
      <c r="W440">
        <f t="shared" si="80"/>
        <v>0.99590589163129217</v>
      </c>
      <c r="X440">
        <f t="shared" si="80"/>
        <v>0.97946382080073868</v>
      </c>
      <c r="Y440">
        <f t="shared" si="80"/>
        <v>1.1501675987114151</v>
      </c>
      <c r="Z440">
        <f t="shared" si="80"/>
        <v>0.94727843417193347</v>
      </c>
      <c r="AA440">
        <f t="shared" si="80"/>
        <v>1.0167298178004929</v>
      </c>
      <c r="AB440">
        <f t="shared" si="80"/>
        <v>0.96175812135494265</v>
      </c>
      <c r="AC440">
        <f t="shared" si="80"/>
        <v>0.91091381528810933</v>
      </c>
      <c r="AD440">
        <f t="shared" si="80"/>
        <v>0.88033267737064369</v>
      </c>
      <c r="AE440">
        <f t="shared" si="80"/>
        <v>0.91586191852965959</v>
      </c>
      <c r="AF440">
        <f t="shared" si="80"/>
        <v>1.0049833599845388</v>
      </c>
      <c r="AG440">
        <f t="shared" si="80"/>
        <v>0.98605552182809519</v>
      </c>
      <c r="AH440">
        <f t="shared" si="80"/>
        <v>1.0548254140493025</v>
      </c>
      <c r="AI440">
        <f t="shared" si="80"/>
        <v>1.0420231762037462</v>
      </c>
      <c r="AJ440">
        <f t="shared" si="80"/>
        <v>0.9925002047036845</v>
      </c>
      <c r="AK440">
        <f t="shared" si="80"/>
        <v>0.81848579854497605</v>
      </c>
      <c r="AL440">
        <f t="shared" si="80"/>
        <v>0.97855419981799585</v>
      </c>
      <c r="AM440">
        <f t="shared" si="80"/>
        <v>1.0323390404133326</v>
      </c>
      <c r="AN440">
        <f t="shared" si="80"/>
        <v>1.0410401922298569</v>
      </c>
      <c r="AO440">
        <f t="shared" si="80"/>
        <v>0.99395886632341801</v>
      </c>
      <c r="AP440">
        <f t="shared" si="80"/>
        <v>0.94628254584305049</v>
      </c>
      <c r="AQ440">
        <f t="shared" si="80"/>
        <v>0.94128648288885208</v>
      </c>
      <c r="AR440">
        <f t="shared" si="80"/>
        <v>0.93672354962184756</v>
      </c>
      <c r="AS440">
        <f t="shared" si="80"/>
        <v>0.99304367564160834</v>
      </c>
      <c r="AT440">
        <f t="shared" si="80"/>
        <v>0.94858835234814698</v>
      </c>
      <c r="AU440">
        <f t="shared" si="80"/>
        <v>1.018011497267701</v>
      </c>
      <c r="AV440">
        <f t="shared" si="80"/>
        <v>0.98598203523238126</v>
      </c>
      <c r="AW440">
        <f t="shared" si="80"/>
        <v>0.9896277796166798</v>
      </c>
      <c r="AX440">
        <f t="shared" si="80"/>
        <v>0.6105721362481491</v>
      </c>
      <c r="AY440">
        <f t="shared" si="80"/>
        <v>1.0015635240104666</v>
      </c>
      <c r="AZ440">
        <f t="shared" si="80"/>
        <v>1.0162538100681529</v>
      </c>
      <c r="BA440">
        <f t="shared" si="80"/>
        <v>1.0899348921765191</v>
      </c>
      <c r="BB440">
        <f t="shared" si="80"/>
        <v>0.97825189135171198</v>
      </c>
      <c r="BC440">
        <f t="shared" si="80"/>
        <v>0.9575319493756913</v>
      </c>
      <c r="BD440">
        <f t="shared" si="80"/>
        <v>1.0214116863470533</v>
      </c>
    </row>
    <row r="441" spans="1:56" x14ac:dyDescent="0.2">
      <c r="A441">
        <v>15</v>
      </c>
      <c r="B441">
        <f t="shared" ref="B441:BD441" si="81">1-B385</f>
        <v>0.66144413243190903</v>
      </c>
      <c r="C441">
        <f t="shared" si="81"/>
        <v>0.67459779062527803</v>
      </c>
      <c r="D441">
        <f t="shared" si="81"/>
        <v>0.54310219013887107</v>
      </c>
      <c r="E441">
        <f t="shared" si="81"/>
        <v>0.93223327372090337</v>
      </c>
      <c r="F441">
        <f t="shared" si="81"/>
        <v>0.88420854819992756</v>
      </c>
      <c r="G441">
        <f t="shared" si="81"/>
        <v>0.87472364398477254</v>
      </c>
      <c r="H441">
        <f t="shared" si="81"/>
        <v>0.98547333236859203</v>
      </c>
      <c r="I441">
        <f t="shared" si="81"/>
        <v>0.86473317636932545</v>
      </c>
      <c r="J441">
        <f t="shared" si="81"/>
        <v>0.43297688341574636</v>
      </c>
      <c r="K441">
        <f t="shared" si="81"/>
        <v>0.53323305742988758</v>
      </c>
      <c r="L441">
        <f t="shared" si="81"/>
        <v>0.62082818340508472</v>
      </c>
      <c r="M441">
        <f t="shared" si="81"/>
        <v>0.97046894918381488</v>
      </c>
      <c r="N441">
        <f t="shared" si="81"/>
        <v>0.94195070219994603</v>
      </c>
      <c r="O441">
        <f t="shared" si="81"/>
        <v>0.97079523470190732</v>
      </c>
      <c r="P441">
        <f t="shared" si="81"/>
        <v>0</v>
      </c>
      <c r="Q441">
        <f t="shared" si="81"/>
        <v>0.66681587395926745</v>
      </c>
      <c r="R441">
        <f t="shared" si="81"/>
        <v>0.45000004986286868</v>
      </c>
      <c r="S441">
        <f t="shared" si="81"/>
        <v>0.32163900753105412</v>
      </c>
      <c r="T441">
        <f t="shared" si="81"/>
        <v>0.61241564144766136</v>
      </c>
      <c r="U441">
        <f t="shared" si="81"/>
        <v>0.99801184391849129</v>
      </c>
      <c r="V441">
        <f t="shared" si="81"/>
        <v>0.591070867564918</v>
      </c>
      <c r="W441">
        <f t="shared" si="81"/>
        <v>0.6995275080992307</v>
      </c>
      <c r="X441">
        <f t="shared" si="81"/>
        <v>0.6567433391551738</v>
      </c>
      <c r="Y441">
        <f t="shared" si="81"/>
        <v>0.65865414047515669</v>
      </c>
      <c r="Z441">
        <f t="shared" si="81"/>
        <v>0.72323807158769438</v>
      </c>
      <c r="AA441">
        <f t="shared" si="81"/>
        <v>0.60925604119820576</v>
      </c>
      <c r="AB441">
        <f t="shared" si="81"/>
        <v>1.1243637407996228</v>
      </c>
      <c r="AC441">
        <f t="shared" si="81"/>
        <v>0.57690782653334072</v>
      </c>
      <c r="AD441">
        <f t="shared" si="81"/>
        <v>0.84364803397643251</v>
      </c>
      <c r="AE441">
        <f t="shared" si="81"/>
        <v>0.76581620480460277</v>
      </c>
      <c r="AF441">
        <f t="shared" si="81"/>
        <v>0.7256019195902168</v>
      </c>
      <c r="AG441">
        <f t="shared" si="81"/>
        <v>0.78721289413528694</v>
      </c>
      <c r="AH441">
        <f t="shared" si="81"/>
        <v>0.78888224971742837</v>
      </c>
      <c r="AI441">
        <f t="shared" si="81"/>
        <v>0.67707990920633032</v>
      </c>
      <c r="AJ441">
        <f t="shared" si="81"/>
        <v>0.51969994189197732</v>
      </c>
      <c r="AK441">
        <f t="shared" si="81"/>
        <v>0.9648648181275401</v>
      </c>
      <c r="AL441">
        <f t="shared" si="81"/>
        <v>0.72900187096412905</v>
      </c>
      <c r="AM441">
        <f t="shared" si="81"/>
        <v>0.80990193813733269</v>
      </c>
      <c r="AN441">
        <f t="shared" si="81"/>
        <v>0.80686914986987079</v>
      </c>
      <c r="AO441">
        <f t="shared" si="81"/>
        <v>0.89682634789872417</v>
      </c>
      <c r="AP441">
        <f t="shared" si="81"/>
        <v>0.6841822817197234</v>
      </c>
      <c r="AQ441">
        <f t="shared" si="81"/>
        <v>0.80900777129107992</v>
      </c>
      <c r="AR441">
        <f t="shared" si="81"/>
        <v>0.56487316664714093</v>
      </c>
      <c r="AS441">
        <f t="shared" si="81"/>
        <v>0.47336681020050553</v>
      </c>
      <c r="AT441">
        <f t="shared" si="81"/>
        <v>0.50454203269001674</v>
      </c>
      <c r="AU441">
        <f t="shared" si="81"/>
        <v>0.94826821550312257</v>
      </c>
      <c r="AV441">
        <f t="shared" si="81"/>
        <v>0.92843747676751054</v>
      </c>
      <c r="AW441">
        <f t="shared" si="81"/>
        <v>0.51762826237501847</v>
      </c>
      <c r="AX441">
        <f t="shared" si="81"/>
        <v>0.8697709024255762</v>
      </c>
      <c r="AY441">
        <f t="shared" si="81"/>
        <v>1.1565991663165356</v>
      </c>
      <c r="AZ441">
        <f t="shared" si="81"/>
        <v>0.98711432725305159</v>
      </c>
      <c r="BA441">
        <f t="shared" si="81"/>
        <v>0.98584522586381418</v>
      </c>
      <c r="BB441">
        <f t="shared" si="81"/>
        <v>0.5227619018426507</v>
      </c>
      <c r="BC441">
        <f t="shared" si="81"/>
        <v>0.63782052546316081</v>
      </c>
      <c r="BD441">
        <f t="shared" si="81"/>
        <v>0.18241305568226251</v>
      </c>
    </row>
    <row r="442" spans="1:56" x14ac:dyDescent="0.2">
      <c r="A442">
        <v>16</v>
      </c>
      <c r="B442">
        <f t="shared" ref="B442:BD442" si="82">1-B386</f>
        <v>0.74296554955902894</v>
      </c>
      <c r="C442">
        <f t="shared" si="82"/>
        <v>0.75552201768832128</v>
      </c>
      <c r="D442">
        <f t="shared" si="82"/>
        <v>0.69096628324585541</v>
      </c>
      <c r="E442">
        <f t="shared" si="82"/>
        <v>0.93796858503984448</v>
      </c>
      <c r="F442">
        <f t="shared" si="82"/>
        <v>0.91482660726502485</v>
      </c>
      <c r="G442">
        <f t="shared" si="82"/>
        <v>0.91044758884713528</v>
      </c>
      <c r="H442">
        <f t="shared" si="82"/>
        <v>1.0262968083539197</v>
      </c>
      <c r="I442">
        <f t="shared" si="82"/>
        <v>0.80579454648657034</v>
      </c>
      <c r="J442">
        <f t="shared" si="82"/>
        <v>0.50866684137542661</v>
      </c>
      <c r="K442">
        <f t="shared" si="82"/>
        <v>0.71269992809347427</v>
      </c>
      <c r="L442">
        <f t="shared" si="82"/>
        <v>0.72850988838158826</v>
      </c>
      <c r="M442">
        <f t="shared" si="82"/>
        <v>0.98677059953573998</v>
      </c>
      <c r="N442">
        <f t="shared" si="82"/>
        <v>0.98685373526224562</v>
      </c>
      <c r="O442">
        <f t="shared" si="82"/>
        <v>1.0405819671505647</v>
      </c>
      <c r="P442">
        <f t="shared" si="82"/>
        <v>0.66681587395926745</v>
      </c>
      <c r="Q442">
        <f t="shared" si="82"/>
        <v>0</v>
      </c>
      <c r="R442">
        <f t="shared" si="82"/>
        <v>0.54807102552740572</v>
      </c>
      <c r="S442">
        <f t="shared" si="82"/>
        <v>0.68274298561140778</v>
      </c>
      <c r="T442">
        <f t="shared" si="82"/>
        <v>0.68741809161157308</v>
      </c>
      <c r="U442">
        <f t="shared" si="82"/>
        <v>0.90230054079509903</v>
      </c>
      <c r="V442">
        <f t="shared" si="82"/>
        <v>0.72117964445857075</v>
      </c>
      <c r="W442">
        <f t="shared" si="82"/>
        <v>0.83905200249861223</v>
      </c>
      <c r="X442">
        <f t="shared" si="82"/>
        <v>0.77810475391240697</v>
      </c>
      <c r="Y442">
        <f t="shared" si="82"/>
        <v>0.85344615690519898</v>
      </c>
      <c r="Z442">
        <f t="shared" si="82"/>
        <v>0.75288163054719603</v>
      </c>
      <c r="AA442">
        <f t="shared" si="82"/>
        <v>0.73090925434875831</v>
      </c>
      <c r="AB442">
        <f t="shared" si="82"/>
        <v>1.2248693068114271</v>
      </c>
      <c r="AC442">
        <f t="shared" si="82"/>
        <v>0.74031321968370833</v>
      </c>
      <c r="AD442">
        <f t="shared" si="82"/>
        <v>0.88461829548626303</v>
      </c>
      <c r="AE442">
        <f t="shared" si="82"/>
        <v>0.67539625224400712</v>
      </c>
      <c r="AF442">
        <f t="shared" si="82"/>
        <v>0.85205195228155772</v>
      </c>
      <c r="AG442">
        <f t="shared" si="82"/>
        <v>0.7843229863348502</v>
      </c>
      <c r="AH442">
        <f t="shared" si="82"/>
        <v>0.80964248745293932</v>
      </c>
      <c r="AI442">
        <f t="shared" si="82"/>
        <v>0.78087799235424971</v>
      </c>
      <c r="AJ442">
        <f t="shared" si="82"/>
        <v>0.71511664770803618</v>
      </c>
      <c r="AK442">
        <f t="shared" si="82"/>
        <v>0.94772285624879771</v>
      </c>
      <c r="AL442">
        <f t="shared" si="82"/>
        <v>0.86608656859895916</v>
      </c>
      <c r="AM442">
        <f t="shared" si="82"/>
        <v>0.94309805876957731</v>
      </c>
      <c r="AN442">
        <f t="shared" si="82"/>
        <v>0.9374156950593695</v>
      </c>
      <c r="AO442">
        <f t="shared" si="82"/>
        <v>1.01419488832643</v>
      </c>
      <c r="AP442">
        <f t="shared" si="82"/>
        <v>0.74811566065224566</v>
      </c>
      <c r="AQ442">
        <f t="shared" si="82"/>
        <v>0.76871224642788138</v>
      </c>
      <c r="AR442">
        <f t="shared" si="82"/>
        <v>0.66555132778439741</v>
      </c>
      <c r="AS442">
        <f t="shared" si="82"/>
        <v>0.71309965448789181</v>
      </c>
      <c r="AT442">
        <f t="shared" si="82"/>
        <v>0.67557751943866917</v>
      </c>
      <c r="AU442">
        <f t="shared" si="82"/>
        <v>0.83720538375559306</v>
      </c>
      <c r="AV442">
        <f t="shared" si="82"/>
        <v>0.90498440311071404</v>
      </c>
      <c r="AW442">
        <f t="shared" si="82"/>
        <v>0.56377420069441353</v>
      </c>
      <c r="AX442">
        <f t="shared" si="82"/>
        <v>0.86309256195555717</v>
      </c>
      <c r="AY442">
        <f t="shared" si="82"/>
        <v>1.0171224276051833</v>
      </c>
      <c r="AZ442">
        <f t="shared" si="82"/>
        <v>0.96095159807529373</v>
      </c>
      <c r="BA442">
        <f t="shared" si="82"/>
        <v>0.91383700771616272</v>
      </c>
      <c r="BB442">
        <f t="shared" si="82"/>
        <v>0.59473134886681822</v>
      </c>
      <c r="BC442">
        <f t="shared" si="82"/>
        <v>0.84311043673235186</v>
      </c>
      <c r="BD442">
        <f t="shared" si="82"/>
        <v>0.64592039915632216</v>
      </c>
    </row>
    <row r="443" spans="1:56" x14ac:dyDescent="0.2">
      <c r="A443">
        <v>17</v>
      </c>
      <c r="B443">
        <f t="shared" ref="B443:BD443" si="83">1-B387</f>
        <v>0.743386018858609</v>
      </c>
      <c r="C443">
        <f t="shared" si="83"/>
        <v>0.65158476669351417</v>
      </c>
      <c r="D443">
        <f t="shared" si="83"/>
        <v>0.60271722109752113</v>
      </c>
      <c r="E443">
        <f t="shared" si="83"/>
        <v>1.0037933540375907</v>
      </c>
      <c r="F443">
        <f t="shared" si="83"/>
        <v>0.93121329537067066</v>
      </c>
      <c r="G443">
        <f t="shared" si="83"/>
        <v>0.92989890045469459</v>
      </c>
      <c r="H443">
        <f t="shared" si="83"/>
        <v>0.9638286297094657</v>
      </c>
      <c r="I443">
        <f t="shared" si="83"/>
        <v>0.93952872773846163</v>
      </c>
      <c r="J443">
        <f t="shared" si="83"/>
        <v>0.55583141140302528</v>
      </c>
      <c r="K443">
        <f t="shared" si="83"/>
        <v>0.55240423664323324</v>
      </c>
      <c r="L443">
        <f t="shared" si="83"/>
        <v>0.71853431680990854</v>
      </c>
      <c r="M443">
        <f t="shared" si="83"/>
        <v>1.0246846581138325</v>
      </c>
      <c r="N443">
        <f t="shared" si="83"/>
        <v>1.0091728239138225</v>
      </c>
      <c r="O443">
        <f t="shared" si="83"/>
        <v>0.98491302933871006</v>
      </c>
      <c r="P443">
        <f t="shared" si="83"/>
        <v>0.45000004986286868</v>
      </c>
      <c r="Q443">
        <f t="shared" si="83"/>
        <v>0.54807102552740572</v>
      </c>
      <c r="R443">
        <f t="shared" si="83"/>
        <v>0</v>
      </c>
      <c r="S443">
        <f t="shared" si="83"/>
        <v>0.43523109924899428</v>
      </c>
      <c r="T443">
        <f t="shared" si="83"/>
        <v>0.62407175154428152</v>
      </c>
      <c r="U443">
        <f t="shared" si="83"/>
        <v>1.020737396417962</v>
      </c>
      <c r="V443">
        <f t="shared" si="83"/>
        <v>0.66923027319160511</v>
      </c>
      <c r="W443">
        <f t="shared" si="83"/>
        <v>0.84542433624566715</v>
      </c>
      <c r="X443">
        <f t="shared" si="83"/>
        <v>0.73586279058890325</v>
      </c>
      <c r="Y443">
        <f t="shared" si="83"/>
        <v>0.7894944165972082</v>
      </c>
      <c r="Z443">
        <f t="shared" si="83"/>
        <v>0.74182493363458823</v>
      </c>
      <c r="AA443">
        <f t="shared" si="83"/>
        <v>0.67106763547524984</v>
      </c>
      <c r="AB443">
        <f t="shared" si="83"/>
        <v>1.1932579273266863</v>
      </c>
      <c r="AC443">
        <f t="shared" si="83"/>
        <v>0.64903536385723259</v>
      </c>
      <c r="AD443">
        <f t="shared" si="83"/>
        <v>0.94078599026644727</v>
      </c>
      <c r="AE443">
        <f t="shared" si="83"/>
        <v>0.77397389093728353</v>
      </c>
      <c r="AF443">
        <f t="shared" si="83"/>
        <v>0.80265493316195369</v>
      </c>
      <c r="AG443">
        <f t="shared" si="83"/>
        <v>0.74524129296393626</v>
      </c>
      <c r="AH443">
        <f t="shared" si="83"/>
        <v>0.85916365185812071</v>
      </c>
      <c r="AI443">
        <f t="shared" si="83"/>
        <v>0.71513421259141108</v>
      </c>
      <c r="AJ443">
        <f t="shared" si="83"/>
        <v>0.5138677948116962</v>
      </c>
      <c r="AK443">
        <f t="shared" si="83"/>
        <v>1.0261105103879917</v>
      </c>
      <c r="AL443">
        <f t="shared" si="83"/>
        <v>0.73934959938530076</v>
      </c>
      <c r="AM443">
        <f t="shared" si="83"/>
        <v>0.9881917310098457</v>
      </c>
      <c r="AN443">
        <f t="shared" si="83"/>
        <v>0.97532298281870133</v>
      </c>
      <c r="AO443">
        <f t="shared" si="83"/>
        <v>1.0173777854628563</v>
      </c>
      <c r="AP443">
        <f t="shared" si="83"/>
        <v>0.55711857951448596</v>
      </c>
      <c r="AQ443">
        <f t="shared" si="83"/>
        <v>0.74525477231635706</v>
      </c>
      <c r="AR443">
        <f t="shared" si="83"/>
        <v>0.55927717055919268</v>
      </c>
      <c r="AS443">
        <f t="shared" si="83"/>
        <v>0.59416515968869166</v>
      </c>
      <c r="AT443">
        <f t="shared" si="83"/>
        <v>0.61234038502617461</v>
      </c>
      <c r="AU443">
        <f t="shared" si="83"/>
        <v>0.93930815996327444</v>
      </c>
      <c r="AV443">
        <f t="shared" si="83"/>
        <v>1.007687791919146</v>
      </c>
      <c r="AW443">
        <f t="shared" si="83"/>
        <v>0.57162955171525542</v>
      </c>
      <c r="AX443">
        <f t="shared" si="83"/>
        <v>0.91309041936776447</v>
      </c>
      <c r="AY443">
        <f t="shared" si="83"/>
        <v>1.1136056575416928</v>
      </c>
      <c r="AZ443">
        <f t="shared" si="83"/>
        <v>1.0036885696994322</v>
      </c>
      <c r="BA443">
        <f t="shared" si="83"/>
        <v>0.98180650928340685</v>
      </c>
      <c r="BB443">
        <f t="shared" si="83"/>
        <v>0.54701061888096469</v>
      </c>
      <c r="BC443">
        <f t="shared" si="83"/>
        <v>0.71266194043103404</v>
      </c>
      <c r="BD443">
        <f t="shared" si="83"/>
        <v>0.19788341157456124</v>
      </c>
    </row>
    <row r="444" spans="1:56" x14ac:dyDescent="0.2">
      <c r="A444">
        <v>18</v>
      </c>
      <c r="B444">
        <f t="shared" ref="B444:BD444" si="84">1-B388</f>
        <v>0.33791311448669503</v>
      </c>
      <c r="C444">
        <f t="shared" si="84"/>
        <v>0.578035394348418</v>
      </c>
      <c r="D444">
        <f t="shared" si="84"/>
        <v>0.51099262570421766</v>
      </c>
      <c r="E444">
        <f t="shared" si="84"/>
        <v>0.54981843296948096</v>
      </c>
      <c r="F444">
        <f t="shared" si="84"/>
        <v>1.1954487901577813</v>
      </c>
      <c r="G444">
        <f t="shared" si="84"/>
        <v>0.94862522122273485</v>
      </c>
      <c r="H444">
        <f t="shared" si="84"/>
        <v>0.92400221698289509</v>
      </c>
      <c r="I444">
        <f t="shared" si="84"/>
        <v>0.96474213365126948</v>
      </c>
      <c r="J444">
        <f t="shared" si="84"/>
        <v>0.58516574422326462</v>
      </c>
      <c r="K444">
        <f t="shared" si="84"/>
        <v>0.44436486730736935</v>
      </c>
      <c r="L444">
        <f t="shared" si="84"/>
        <v>0.5537389460411315</v>
      </c>
      <c r="M444">
        <f t="shared" si="84"/>
        <v>0.91133432647308477</v>
      </c>
      <c r="N444">
        <f t="shared" si="84"/>
        <v>0.8608937963812161</v>
      </c>
      <c r="O444">
        <f t="shared" si="84"/>
        <v>1.1367463725641407</v>
      </c>
      <c r="P444">
        <f t="shared" si="84"/>
        <v>0.32163900753105412</v>
      </c>
      <c r="Q444">
        <f t="shared" si="84"/>
        <v>0.68274298561140778</v>
      </c>
      <c r="R444">
        <f t="shared" si="84"/>
        <v>0.43523109924899428</v>
      </c>
      <c r="S444">
        <f t="shared" si="84"/>
        <v>0</v>
      </c>
      <c r="T444">
        <f t="shared" si="84"/>
        <v>0.4413656484893248</v>
      </c>
      <c r="U444">
        <f t="shared" si="84"/>
        <v>0.60095672831058955</v>
      </c>
      <c r="V444">
        <f t="shared" si="84"/>
        <v>0.29102900113564156</v>
      </c>
      <c r="W444">
        <f t="shared" si="84"/>
        <v>0.49115665028258315</v>
      </c>
      <c r="X444">
        <f t="shared" si="84"/>
        <v>0.63822331039443447</v>
      </c>
      <c r="Y444">
        <f t="shared" si="84"/>
        <v>0.31200208827133147</v>
      </c>
      <c r="Z444">
        <f t="shared" si="84"/>
        <v>0.64430160628071009</v>
      </c>
      <c r="AA444">
        <f t="shared" si="84"/>
        <v>0.30989716347224538</v>
      </c>
      <c r="AB444">
        <f t="shared" si="84"/>
        <v>1.0592368049204866</v>
      </c>
      <c r="AC444">
        <f t="shared" si="84"/>
        <v>0.38638182172224833</v>
      </c>
      <c r="AD444">
        <f t="shared" si="84"/>
        <v>0.95277799410165465</v>
      </c>
      <c r="AE444">
        <f t="shared" si="84"/>
        <v>0.82414994293250654</v>
      </c>
      <c r="AF444">
        <f t="shared" si="84"/>
        <v>0.39235820578212688</v>
      </c>
      <c r="AG444">
        <f t="shared" si="84"/>
        <v>0.86802557819521231</v>
      </c>
      <c r="AH444">
        <f t="shared" si="84"/>
        <v>0.54126079791292692</v>
      </c>
      <c r="AI444">
        <f t="shared" si="84"/>
        <v>0.31298177081678025</v>
      </c>
      <c r="AJ444">
        <f t="shared" si="84"/>
        <v>0.56549145331501771</v>
      </c>
      <c r="AK444">
        <f t="shared" si="84"/>
        <v>0.42413020952138114</v>
      </c>
      <c r="AL444">
        <f t="shared" si="84"/>
        <v>0.60319250788983059</v>
      </c>
      <c r="AM444">
        <f t="shared" si="84"/>
        <v>0.29861313391816902</v>
      </c>
      <c r="AN444">
        <f t="shared" si="84"/>
        <v>0.29736384833129026</v>
      </c>
      <c r="AO444">
        <f t="shared" si="84"/>
        <v>1.0070106729752117</v>
      </c>
      <c r="AP444">
        <f t="shared" si="84"/>
        <v>0.89111046552917128</v>
      </c>
      <c r="AQ444">
        <f t="shared" si="84"/>
        <v>0.54945909265107284</v>
      </c>
      <c r="AR444">
        <f t="shared" si="84"/>
        <v>0.59455678747837915</v>
      </c>
      <c r="AS444">
        <f t="shared" si="84"/>
        <v>0.55538091364835229</v>
      </c>
      <c r="AT444">
        <f t="shared" si="84"/>
        <v>0.49533282046135774</v>
      </c>
      <c r="AU444">
        <f t="shared" si="84"/>
        <v>0.73070437517674347</v>
      </c>
      <c r="AV444">
        <f t="shared" si="84"/>
        <v>0.95836359367102186</v>
      </c>
      <c r="AW444">
        <f t="shared" si="84"/>
        <v>0.44820556863511563</v>
      </c>
      <c r="AX444">
        <f t="shared" si="84"/>
        <v>0.97129210635072349</v>
      </c>
      <c r="AY444">
        <f t="shared" si="84"/>
        <v>1.4265564990818196</v>
      </c>
      <c r="AZ444">
        <f t="shared" si="84"/>
        <v>0.96998156777721445</v>
      </c>
      <c r="BA444">
        <f t="shared" si="84"/>
        <v>0.95757066017699521</v>
      </c>
      <c r="BB444">
        <f t="shared" si="84"/>
        <v>0.49394274207206035</v>
      </c>
      <c r="BC444">
        <f t="shared" si="84"/>
        <v>0.48693593946497926</v>
      </c>
      <c r="BD444">
        <f t="shared" si="84"/>
        <v>0.22880749723131899</v>
      </c>
    </row>
    <row r="445" spans="1:56" x14ac:dyDescent="0.2">
      <c r="A445">
        <v>19</v>
      </c>
      <c r="B445">
        <f t="shared" ref="B445:BD445" si="85">1-B389</f>
        <v>0.59948514516236462</v>
      </c>
      <c r="C445">
        <f t="shared" si="85"/>
        <v>0.52821664752682129</v>
      </c>
      <c r="D445">
        <f t="shared" si="85"/>
        <v>0.45813994008780978</v>
      </c>
      <c r="E445">
        <f t="shared" si="85"/>
        <v>0.86708993346815333</v>
      </c>
      <c r="F445">
        <f t="shared" si="85"/>
        <v>0.87468234036641979</v>
      </c>
      <c r="G445">
        <f t="shared" si="85"/>
        <v>0.89100139555918234</v>
      </c>
      <c r="H445">
        <f t="shared" si="85"/>
        <v>0.95415437979130135</v>
      </c>
      <c r="I445">
        <f t="shared" si="85"/>
        <v>0.84820576871114528</v>
      </c>
      <c r="J445">
        <f t="shared" si="85"/>
        <v>0.60820117235063265</v>
      </c>
      <c r="K445">
        <f t="shared" si="85"/>
        <v>0.53667238381783833</v>
      </c>
      <c r="L445">
        <f t="shared" si="85"/>
        <v>0.84563532377358197</v>
      </c>
      <c r="M445">
        <f t="shared" si="85"/>
        <v>0.99760199190908672</v>
      </c>
      <c r="N445">
        <f t="shared" si="85"/>
        <v>0.95332631728241946</v>
      </c>
      <c r="O445">
        <f t="shared" si="85"/>
        <v>1.0342988863223184</v>
      </c>
      <c r="P445">
        <f t="shared" si="85"/>
        <v>0.61241564144766136</v>
      </c>
      <c r="Q445">
        <f t="shared" si="85"/>
        <v>0.68741809161157308</v>
      </c>
      <c r="R445">
        <f t="shared" si="85"/>
        <v>0.62407175154428152</v>
      </c>
      <c r="S445">
        <f t="shared" si="85"/>
        <v>0.4413656484893248</v>
      </c>
      <c r="T445">
        <f t="shared" si="85"/>
        <v>0</v>
      </c>
      <c r="U445">
        <f t="shared" si="85"/>
        <v>0.76052096057290086</v>
      </c>
      <c r="V445">
        <f t="shared" si="85"/>
        <v>0.44048537733801685</v>
      </c>
      <c r="W445">
        <f t="shared" si="85"/>
        <v>0.61383885810473571</v>
      </c>
      <c r="X445">
        <f t="shared" si="85"/>
        <v>0.70056485728490769</v>
      </c>
      <c r="Y445">
        <f t="shared" si="85"/>
        <v>0.60652487619480522</v>
      </c>
      <c r="Z445">
        <f t="shared" si="85"/>
        <v>0.74678300204219705</v>
      </c>
      <c r="AA445">
        <f t="shared" si="85"/>
        <v>0.43886316862285735</v>
      </c>
      <c r="AB445">
        <f t="shared" si="85"/>
        <v>1.231606563480895</v>
      </c>
      <c r="AC445">
        <f t="shared" si="85"/>
        <v>0.65113013677006726</v>
      </c>
      <c r="AD445">
        <f t="shared" si="85"/>
        <v>0.91028743713066396</v>
      </c>
      <c r="AE445">
        <f t="shared" si="85"/>
        <v>0.79486413977908132</v>
      </c>
      <c r="AF445">
        <f t="shared" si="85"/>
        <v>0.71396402422311434</v>
      </c>
      <c r="AG445">
        <f t="shared" si="85"/>
        <v>0.75240467656008259</v>
      </c>
      <c r="AH445">
        <f t="shared" si="85"/>
        <v>0.69635069911651581</v>
      </c>
      <c r="AI445">
        <f t="shared" si="85"/>
        <v>0.76505007652246682</v>
      </c>
      <c r="AJ445">
        <f t="shared" si="85"/>
        <v>0.42566422249255498</v>
      </c>
      <c r="AK445">
        <f t="shared" si="85"/>
        <v>0.7606947192019532</v>
      </c>
      <c r="AL445">
        <f t="shared" si="85"/>
        <v>0.89218244939139224</v>
      </c>
      <c r="AM445">
        <f t="shared" si="85"/>
        <v>0.74790750244403947</v>
      </c>
      <c r="AN445">
        <f t="shared" si="85"/>
        <v>0.74412730604307131</v>
      </c>
      <c r="AO445">
        <f t="shared" si="85"/>
        <v>0.90807106411531235</v>
      </c>
      <c r="AP445">
        <f t="shared" si="85"/>
        <v>0.90992952619258494</v>
      </c>
      <c r="AQ445">
        <f t="shared" si="85"/>
        <v>0.80339583465092756</v>
      </c>
      <c r="AR445">
        <f t="shared" si="85"/>
        <v>0.64727436968742025</v>
      </c>
      <c r="AS445">
        <f t="shared" si="85"/>
        <v>0.54604856520313882</v>
      </c>
      <c r="AT445">
        <f t="shared" si="85"/>
        <v>0.51299570025567343</v>
      </c>
      <c r="AU445">
        <f t="shared" si="85"/>
        <v>0.98816934412057367</v>
      </c>
      <c r="AV445">
        <f t="shared" si="85"/>
        <v>0.9375435361958846</v>
      </c>
      <c r="AW445">
        <f t="shared" si="85"/>
        <v>0.43995094261022039</v>
      </c>
      <c r="AX445">
        <f t="shared" si="85"/>
        <v>0.86955506323576692</v>
      </c>
      <c r="AY445">
        <f t="shared" si="85"/>
        <v>0.96659337705881698</v>
      </c>
      <c r="AZ445">
        <f t="shared" si="85"/>
        <v>1.0131796000050783</v>
      </c>
      <c r="BA445">
        <f t="shared" si="85"/>
        <v>1.0218689872517035</v>
      </c>
      <c r="BB445">
        <f t="shared" si="85"/>
        <v>0.42732140239947036</v>
      </c>
      <c r="BC445">
        <f t="shared" si="85"/>
        <v>0.67559115484423138</v>
      </c>
      <c r="BD445">
        <f t="shared" si="85"/>
        <v>0.32392066735830904</v>
      </c>
    </row>
    <row r="446" spans="1:56" x14ac:dyDescent="0.2">
      <c r="A446">
        <v>20</v>
      </c>
      <c r="B446">
        <f t="shared" ref="B446:BD446" si="86">1-B390</f>
        <v>0.68998830109732134</v>
      </c>
      <c r="C446">
        <f t="shared" si="86"/>
        <v>0.68970604973630112</v>
      </c>
      <c r="D446">
        <f t="shared" si="86"/>
        <v>0.6660859636173968</v>
      </c>
      <c r="E446">
        <f t="shared" si="86"/>
        <v>0.89873796200209077</v>
      </c>
      <c r="F446">
        <f t="shared" si="86"/>
        <v>0.97043216213581152</v>
      </c>
      <c r="G446">
        <f t="shared" si="86"/>
        <v>0.98583943546568631</v>
      </c>
      <c r="H446">
        <f t="shared" si="86"/>
        <v>0.9577734258917443</v>
      </c>
      <c r="I446">
        <f t="shared" si="86"/>
        <v>1.0127563816429126</v>
      </c>
      <c r="J446">
        <f t="shared" si="86"/>
        <v>0.86337092639572688</v>
      </c>
      <c r="K446">
        <f t="shared" si="86"/>
        <v>0.51090384829689506</v>
      </c>
      <c r="L446">
        <f t="shared" si="86"/>
        <v>0.84768635899656786</v>
      </c>
      <c r="M446">
        <f t="shared" si="86"/>
        <v>0.92902992135699691</v>
      </c>
      <c r="N446">
        <f t="shared" si="86"/>
        <v>0.89175080057523648</v>
      </c>
      <c r="O446">
        <f t="shared" si="86"/>
        <v>1.0124841703022001</v>
      </c>
      <c r="P446">
        <f t="shared" si="86"/>
        <v>0.99801184391849129</v>
      </c>
      <c r="Q446">
        <f t="shared" si="86"/>
        <v>0.90230054079509903</v>
      </c>
      <c r="R446">
        <f t="shared" si="86"/>
        <v>1.020737396417962</v>
      </c>
      <c r="S446">
        <f t="shared" si="86"/>
        <v>0.60095672831058955</v>
      </c>
      <c r="T446">
        <f t="shared" si="86"/>
        <v>0.76052096057290086</v>
      </c>
      <c r="U446">
        <f t="shared" si="86"/>
        <v>0</v>
      </c>
      <c r="V446">
        <f t="shared" si="86"/>
        <v>0.59496195320584899</v>
      </c>
      <c r="W446">
        <f t="shared" si="86"/>
        <v>0.72420455801945383</v>
      </c>
      <c r="X446">
        <f t="shared" si="86"/>
        <v>0.93330361079587798</v>
      </c>
      <c r="Y446">
        <f t="shared" si="86"/>
        <v>0.68704304895705093</v>
      </c>
      <c r="Z446">
        <f t="shared" si="86"/>
        <v>0.91943211129646008</v>
      </c>
      <c r="AA446">
        <f t="shared" si="86"/>
        <v>0.57450542327693355</v>
      </c>
      <c r="AB446">
        <f t="shared" si="86"/>
        <v>0.94940742805612388</v>
      </c>
      <c r="AC446">
        <f t="shared" si="86"/>
        <v>0.94013166247766322</v>
      </c>
      <c r="AD446">
        <f t="shared" si="86"/>
        <v>1.0423570262669868</v>
      </c>
      <c r="AE446">
        <f t="shared" si="86"/>
        <v>0.80841256543304785</v>
      </c>
      <c r="AF446">
        <f t="shared" si="86"/>
        <v>0.69806216956113964</v>
      </c>
      <c r="AG446">
        <f t="shared" si="86"/>
        <v>1.0505702756733701</v>
      </c>
      <c r="AH446">
        <f t="shared" si="86"/>
        <v>0.82200431075551195</v>
      </c>
      <c r="AI446">
        <f t="shared" si="86"/>
        <v>0.88850610550090359</v>
      </c>
      <c r="AJ446">
        <f t="shared" si="86"/>
        <v>0.55696817750243865</v>
      </c>
      <c r="AK446">
        <f t="shared" si="86"/>
        <v>0.61963015832357815</v>
      </c>
      <c r="AL446">
        <f t="shared" si="86"/>
        <v>0.99172208283199703</v>
      </c>
      <c r="AM446">
        <f t="shared" si="86"/>
        <v>0.71979846784084289</v>
      </c>
      <c r="AN446">
        <f t="shared" si="86"/>
        <v>0.7225346230507852</v>
      </c>
      <c r="AO446">
        <f t="shared" si="86"/>
        <v>1.008242996403423</v>
      </c>
      <c r="AP446">
        <f t="shared" si="86"/>
        <v>1.0798401943543969</v>
      </c>
      <c r="AQ446">
        <f t="shared" si="86"/>
        <v>0.94653466277944054</v>
      </c>
      <c r="AR446">
        <f t="shared" si="86"/>
        <v>0.87236325354427424</v>
      </c>
      <c r="AS446">
        <f t="shared" si="86"/>
        <v>0.90344969233196171</v>
      </c>
      <c r="AT446">
        <f t="shared" si="86"/>
        <v>0.76184357746489562</v>
      </c>
      <c r="AU446">
        <f t="shared" si="86"/>
        <v>0.97233665508495803</v>
      </c>
      <c r="AV446">
        <f t="shared" si="86"/>
        <v>1.070486899922527</v>
      </c>
      <c r="AW446">
        <f t="shared" si="86"/>
        <v>0.67233264608773191</v>
      </c>
      <c r="AX446">
        <f t="shared" si="86"/>
        <v>0.99818073688085729</v>
      </c>
      <c r="AY446">
        <f t="shared" si="86"/>
        <v>1.0191105382190804</v>
      </c>
      <c r="AZ446">
        <f t="shared" si="86"/>
        <v>1.0815885339378628</v>
      </c>
      <c r="BA446">
        <f t="shared" si="86"/>
        <v>0.9929996231684376</v>
      </c>
      <c r="BB446">
        <f t="shared" si="86"/>
        <v>0.70379754482467294</v>
      </c>
      <c r="BC446">
        <f t="shared" si="86"/>
        <v>0.67815987526359023</v>
      </c>
      <c r="BD446">
        <f t="shared" si="86"/>
        <v>0.41795883181337978</v>
      </c>
    </row>
    <row r="447" spans="1:56" x14ac:dyDescent="0.2">
      <c r="A447">
        <v>21</v>
      </c>
      <c r="B447">
        <f t="shared" ref="B447:BD447" si="87">1-B391</f>
        <v>0.39739359372764038</v>
      </c>
      <c r="C447">
        <f t="shared" si="87"/>
        <v>0.4954424920284769</v>
      </c>
      <c r="D447">
        <f t="shared" si="87"/>
        <v>0.45228535399539027</v>
      </c>
      <c r="E447">
        <f t="shared" si="87"/>
        <v>0.77965434349992369</v>
      </c>
      <c r="F447">
        <f t="shared" si="87"/>
        <v>0.99244723521629141</v>
      </c>
      <c r="G447">
        <f t="shared" si="87"/>
        <v>0.87007683064921504</v>
      </c>
      <c r="H447">
        <f t="shared" si="87"/>
        <v>0.95676381629563967</v>
      </c>
      <c r="I447">
        <f t="shared" si="87"/>
        <v>0.85500814807005066</v>
      </c>
      <c r="J447">
        <f t="shared" si="87"/>
        <v>0.57748032922033099</v>
      </c>
      <c r="K447">
        <f t="shared" si="87"/>
        <v>0.39127092600786895</v>
      </c>
      <c r="L447">
        <f t="shared" si="87"/>
        <v>0.76428576737561937</v>
      </c>
      <c r="M447">
        <f t="shared" si="87"/>
        <v>0.94601203476559903</v>
      </c>
      <c r="N447">
        <f t="shared" si="87"/>
        <v>0.93994528596297477</v>
      </c>
      <c r="O447">
        <f t="shared" si="87"/>
        <v>1.0058100572207602</v>
      </c>
      <c r="P447">
        <f t="shared" si="87"/>
        <v>0.591070867564918</v>
      </c>
      <c r="Q447">
        <f t="shared" si="87"/>
        <v>0.72117964445857075</v>
      </c>
      <c r="R447">
        <f t="shared" si="87"/>
        <v>0.66923027319160511</v>
      </c>
      <c r="S447">
        <f t="shared" si="87"/>
        <v>0.29102900113564156</v>
      </c>
      <c r="T447">
        <f t="shared" si="87"/>
        <v>0.44048537733801685</v>
      </c>
      <c r="U447">
        <f t="shared" si="87"/>
        <v>0.59496195320584899</v>
      </c>
      <c r="V447">
        <f t="shared" si="87"/>
        <v>0</v>
      </c>
      <c r="W447">
        <f t="shared" si="87"/>
        <v>0.4815480400988662</v>
      </c>
      <c r="X447">
        <f t="shared" si="87"/>
        <v>0.79151830786061783</v>
      </c>
      <c r="Y447">
        <f t="shared" si="87"/>
        <v>0.47199257565398745</v>
      </c>
      <c r="Z447">
        <f t="shared" si="87"/>
        <v>0.65944160581490441</v>
      </c>
      <c r="AA447">
        <f t="shared" si="87"/>
        <v>1.3962094816091564E-2</v>
      </c>
      <c r="AB447">
        <f t="shared" si="87"/>
        <v>1.1555501857739467</v>
      </c>
      <c r="AC447">
        <f t="shared" si="87"/>
        <v>0.61396788895772936</v>
      </c>
      <c r="AD447">
        <f t="shared" si="87"/>
        <v>0.86627169508600854</v>
      </c>
      <c r="AE447">
        <f t="shared" si="87"/>
        <v>0.72934238661051398</v>
      </c>
      <c r="AF447">
        <f t="shared" si="87"/>
        <v>0.56592220655438064</v>
      </c>
      <c r="AG447">
        <f t="shared" si="87"/>
        <v>0.68099886953749245</v>
      </c>
      <c r="AH447">
        <f t="shared" si="87"/>
        <v>0.56914542506568044</v>
      </c>
      <c r="AI447">
        <f t="shared" si="87"/>
        <v>0.59739149102589129</v>
      </c>
      <c r="AJ447">
        <f t="shared" si="87"/>
        <v>0.40468272353977786</v>
      </c>
      <c r="AK447">
        <f t="shared" si="87"/>
        <v>0.4568966950293325</v>
      </c>
      <c r="AL447">
        <f t="shared" si="87"/>
        <v>0.81059976775171294</v>
      </c>
      <c r="AM447">
        <f t="shared" si="87"/>
        <v>0.49570728584622026</v>
      </c>
      <c r="AN447">
        <f t="shared" si="87"/>
        <v>0.47707973108123758</v>
      </c>
      <c r="AO447">
        <f t="shared" si="87"/>
        <v>0.96837681998653513</v>
      </c>
      <c r="AP447">
        <f t="shared" si="87"/>
        <v>0.94932146435143927</v>
      </c>
      <c r="AQ447">
        <f t="shared" si="87"/>
        <v>0.7712132114032717</v>
      </c>
      <c r="AR447">
        <f t="shared" si="87"/>
        <v>0.64035366745189815</v>
      </c>
      <c r="AS447">
        <f t="shared" si="87"/>
        <v>0.42879964872511012</v>
      </c>
      <c r="AT447">
        <f t="shared" si="87"/>
        <v>0.47418617245969941</v>
      </c>
      <c r="AU447">
        <f t="shared" si="87"/>
        <v>0.92411822313383607</v>
      </c>
      <c r="AV447">
        <f t="shared" si="87"/>
        <v>0.94566204487609484</v>
      </c>
      <c r="AW447">
        <f t="shared" si="87"/>
        <v>0.42178153061756585</v>
      </c>
      <c r="AX447">
        <f t="shared" si="87"/>
        <v>0.84946387235674281</v>
      </c>
      <c r="AY447">
        <f t="shared" si="87"/>
        <v>1.100814540013124</v>
      </c>
      <c r="AZ447">
        <f t="shared" si="87"/>
        <v>0.99521224139673703</v>
      </c>
      <c r="BA447">
        <f t="shared" si="87"/>
        <v>0.95300422127791162</v>
      </c>
      <c r="BB447">
        <f t="shared" si="87"/>
        <v>0.45040367213440347</v>
      </c>
      <c r="BC447">
        <f t="shared" si="87"/>
        <v>0.45251593001492385</v>
      </c>
      <c r="BD447">
        <f t="shared" si="87"/>
        <v>0.12198425248910816</v>
      </c>
    </row>
    <row r="448" spans="1:56" x14ac:dyDescent="0.2">
      <c r="A448">
        <v>22</v>
      </c>
      <c r="B448">
        <f t="shared" ref="B448:BD448" si="88">1-B392</f>
        <v>0.60847038512164275</v>
      </c>
      <c r="C448">
        <f t="shared" si="88"/>
        <v>0.69598196410146418</v>
      </c>
      <c r="D448">
        <f t="shared" si="88"/>
        <v>0.62504957399472916</v>
      </c>
      <c r="E448">
        <f t="shared" si="88"/>
        <v>0.82959034046785463</v>
      </c>
      <c r="F448">
        <f t="shared" si="88"/>
        <v>0.94869487274496644</v>
      </c>
      <c r="G448">
        <f t="shared" si="88"/>
        <v>1.0368027245670861</v>
      </c>
      <c r="H448">
        <f t="shared" si="88"/>
        <v>1.0891765729593192</v>
      </c>
      <c r="I448">
        <f t="shared" si="88"/>
        <v>1.0297750304049929</v>
      </c>
      <c r="J448">
        <f t="shared" si="88"/>
        <v>0.66509463381593492</v>
      </c>
      <c r="K448">
        <f t="shared" si="88"/>
        <v>0.47202365629750365</v>
      </c>
      <c r="L448">
        <f t="shared" si="88"/>
        <v>0.84115447380496489</v>
      </c>
      <c r="M448">
        <f t="shared" si="88"/>
        <v>0.93728948841658677</v>
      </c>
      <c r="N448">
        <f t="shared" si="88"/>
        <v>0.88363999635135315</v>
      </c>
      <c r="O448">
        <f t="shared" si="88"/>
        <v>0.99590589163129217</v>
      </c>
      <c r="P448">
        <f t="shared" si="88"/>
        <v>0.6995275080992307</v>
      </c>
      <c r="Q448">
        <f t="shared" si="88"/>
        <v>0.83905200249861223</v>
      </c>
      <c r="R448">
        <f t="shared" si="88"/>
        <v>0.84542433624566715</v>
      </c>
      <c r="S448">
        <f t="shared" si="88"/>
        <v>0.49115665028258315</v>
      </c>
      <c r="T448">
        <f t="shared" si="88"/>
        <v>0.61383885810473571</v>
      </c>
      <c r="U448">
        <f t="shared" si="88"/>
        <v>0.72420455801945383</v>
      </c>
      <c r="V448">
        <f t="shared" si="88"/>
        <v>0.4815480400988662</v>
      </c>
      <c r="W448">
        <f t="shared" si="88"/>
        <v>0</v>
      </c>
      <c r="X448">
        <f t="shared" si="88"/>
        <v>0.84848315764035309</v>
      </c>
      <c r="Y448">
        <f t="shared" si="88"/>
        <v>0.64675182109486529</v>
      </c>
      <c r="Z448">
        <f t="shared" si="88"/>
        <v>0.87718038971851509</v>
      </c>
      <c r="AA448">
        <f t="shared" si="88"/>
        <v>0.46793744536484905</v>
      </c>
      <c r="AB448">
        <f t="shared" si="88"/>
        <v>1.2304804137956864</v>
      </c>
      <c r="AC448">
        <f t="shared" si="88"/>
        <v>0.72049059491404743</v>
      </c>
      <c r="AD448">
        <f t="shared" si="88"/>
        <v>0.88728239494397221</v>
      </c>
      <c r="AE448">
        <f t="shared" si="88"/>
        <v>0.82223368832826516</v>
      </c>
      <c r="AF448">
        <f t="shared" si="88"/>
        <v>0.7832610153471895</v>
      </c>
      <c r="AG448">
        <f t="shared" si="88"/>
        <v>0.80448828282048224</v>
      </c>
      <c r="AH448">
        <f t="shared" si="88"/>
        <v>0.70187803562397211</v>
      </c>
      <c r="AI448">
        <f t="shared" si="88"/>
        <v>0.78271477454117722</v>
      </c>
      <c r="AJ448">
        <f t="shared" si="88"/>
        <v>0.51689639627512296</v>
      </c>
      <c r="AK448">
        <f t="shared" si="88"/>
        <v>0.65321493713402901</v>
      </c>
      <c r="AL448">
        <f t="shared" si="88"/>
        <v>0.83796340876103059</v>
      </c>
      <c r="AM448">
        <f t="shared" si="88"/>
        <v>0.61111615755500392</v>
      </c>
      <c r="AN448">
        <f t="shared" si="88"/>
        <v>0.61087346720099811</v>
      </c>
      <c r="AO448">
        <f t="shared" si="88"/>
        <v>0.86046043387745019</v>
      </c>
      <c r="AP448">
        <f t="shared" si="88"/>
        <v>1.0287520771156842</v>
      </c>
      <c r="AQ448">
        <f t="shared" si="88"/>
        <v>0.81696671045136093</v>
      </c>
      <c r="AR448">
        <f t="shared" si="88"/>
        <v>0.74924157694270499</v>
      </c>
      <c r="AS448">
        <f t="shared" si="88"/>
        <v>0.59199509257231198</v>
      </c>
      <c r="AT448">
        <f t="shared" si="88"/>
        <v>0.66674746300008947</v>
      </c>
      <c r="AU448">
        <f t="shared" si="88"/>
        <v>0.95716213105854964</v>
      </c>
      <c r="AV448">
        <f t="shared" si="88"/>
        <v>0.9753483173975751</v>
      </c>
      <c r="AW448">
        <f t="shared" si="88"/>
        <v>0.52866743697347873</v>
      </c>
      <c r="AX448">
        <f t="shared" si="88"/>
        <v>1.039251268444958</v>
      </c>
      <c r="AY448">
        <f t="shared" si="88"/>
        <v>1.0804119483754062</v>
      </c>
      <c r="AZ448">
        <f t="shared" si="88"/>
        <v>1.0109758714284458</v>
      </c>
      <c r="BA448">
        <f t="shared" si="88"/>
        <v>1.0259869679909126</v>
      </c>
      <c r="BB448">
        <f t="shared" si="88"/>
        <v>0.58466007412887477</v>
      </c>
      <c r="BC448">
        <f t="shared" si="88"/>
        <v>0.64416663365911553</v>
      </c>
      <c r="BD448">
        <f t="shared" si="88"/>
        <v>0.38938049564750288</v>
      </c>
    </row>
    <row r="449" spans="1:56" x14ac:dyDescent="0.2">
      <c r="A449">
        <v>23</v>
      </c>
      <c r="B449">
        <f t="shared" ref="B449:BD449" si="89">1-B393</f>
        <v>0.8939738682113777</v>
      </c>
      <c r="C449">
        <f t="shared" si="89"/>
        <v>0.79810188823747708</v>
      </c>
      <c r="D449">
        <f t="shared" si="89"/>
        <v>0.62721824247461311</v>
      </c>
      <c r="E449">
        <f t="shared" si="89"/>
        <v>1.0771961814604436</v>
      </c>
      <c r="F449">
        <f t="shared" si="89"/>
        <v>0.90350217003253541</v>
      </c>
      <c r="G449">
        <f t="shared" si="89"/>
        <v>0.81310211860805715</v>
      </c>
      <c r="H449">
        <f t="shared" si="89"/>
        <v>1.0520260550710481</v>
      </c>
      <c r="I449">
        <f t="shared" si="89"/>
        <v>0.82938293815258912</v>
      </c>
      <c r="J449">
        <f t="shared" si="89"/>
        <v>0.70945310631671998</v>
      </c>
      <c r="K449">
        <f t="shared" si="89"/>
        <v>0.69005061455393546</v>
      </c>
      <c r="L449">
        <f t="shared" si="89"/>
        <v>0.8076520822339005</v>
      </c>
      <c r="M449">
        <f t="shared" si="89"/>
        <v>0.98912603495141704</v>
      </c>
      <c r="N449">
        <f t="shared" si="89"/>
        <v>1.0420991824562897</v>
      </c>
      <c r="O449">
        <f t="shared" si="89"/>
        <v>0.97946382080073868</v>
      </c>
      <c r="P449">
        <f t="shared" si="89"/>
        <v>0.6567433391551738</v>
      </c>
      <c r="Q449">
        <f t="shared" si="89"/>
        <v>0.77810475391240697</v>
      </c>
      <c r="R449">
        <f t="shared" si="89"/>
        <v>0.73586279058890325</v>
      </c>
      <c r="S449">
        <f t="shared" si="89"/>
        <v>0.63822331039443447</v>
      </c>
      <c r="T449">
        <f t="shared" si="89"/>
        <v>0.70056485728490769</v>
      </c>
      <c r="U449">
        <f t="shared" si="89"/>
        <v>0.93330361079587798</v>
      </c>
      <c r="V449">
        <f t="shared" si="89"/>
        <v>0.79151830786061783</v>
      </c>
      <c r="W449">
        <f t="shared" si="89"/>
        <v>0.84848315764035309</v>
      </c>
      <c r="X449">
        <f t="shared" si="89"/>
        <v>0</v>
      </c>
      <c r="Y449">
        <f t="shared" si="89"/>
        <v>0.82891740041089468</v>
      </c>
      <c r="Z449">
        <f t="shared" si="89"/>
        <v>0.80278475145478789</v>
      </c>
      <c r="AA449">
        <f t="shared" si="89"/>
        <v>0.77705372125790473</v>
      </c>
      <c r="AB449">
        <f t="shared" si="89"/>
        <v>1.2533591720887405</v>
      </c>
      <c r="AC449">
        <f t="shared" si="89"/>
        <v>0.81856036446048608</v>
      </c>
      <c r="AD449">
        <f t="shared" si="89"/>
        <v>0.9714648697390198</v>
      </c>
      <c r="AE449">
        <f t="shared" si="89"/>
        <v>0.80612513761945337</v>
      </c>
      <c r="AF449">
        <f t="shared" si="89"/>
        <v>0.87298704807951544</v>
      </c>
      <c r="AG449">
        <f t="shared" si="89"/>
        <v>0.95064677197938008</v>
      </c>
      <c r="AH449">
        <f t="shared" si="89"/>
        <v>0.97690857224938665</v>
      </c>
      <c r="AI449">
        <f t="shared" si="89"/>
        <v>0.74149055889672011</v>
      </c>
      <c r="AJ449">
        <f t="shared" si="89"/>
        <v>0.55784998167090682</v>
      </c>
      <c r="AK449">
        <f t="shared" si="89"/>
        <v>0.99027464651268382</v>
      </c>
      <c r="AL449">
        <f t="shared" si="89"/>
        <v>0.92754064092056288</v>
      </c>
      <c r="AM449">
        <f t="shared" si="89"/>
        <v>0.99294023606020176</v>
      </c>
      <c r="AN449">
        <f t="shared" si="89"/>
        <v>0.99825332152022017</v>
      </c>
      <c r="AO449">
        <f t="shared" si="89"/>
        <v>1.1200355245244744</v>
      </c>
      <c r="AP449">
        <f t="shared" si="89"/>
        <v>0.74561221971387381</v>
      </c>
      <c r="AQ449">
        <f t="shared" si="89"/>
        <v>0.78011219293278222</v>
      </c>
      <c r="AR449">
        <f t="shared" si="89"/>
        <v>0.67567563037065637</v>
      </c>
      <c r="AS449">
        <f t="shared" si="89"/>
        <v>0.79603632025286342</v>
      </c>
      <c r="AT449">
        <f t="shared" si="89"/>
        <v>0.71432662200914643</v>
      </c>
      <c r="AU449">
        <f t="shared" si="89"/>
        <v>0.94738848418402288</v>
      </c>
      <c r="AV449">
        <f t="shared" si="89"/>
        <v>0.92023681038562744</v>
      </c>
      <c r="AW449">
        <f t="shared" si="89"/>
        <v>0.60547322169244522</v>
      </c>
      <c r="AX449">
        <f t="shared" si="89"/>
        <v>0.82459640160057079</v>
      </c>
      <c r="AY449">
        <f t="shared" si="89"/>
        <v>0.9930968967528585</v>
      </c>
      <c r="AZ449">
        <f t="shared" si="89"/>
        <v>1.0159444665184072</v>
      </c>
      <c r="BA449">
        <f t="shared" si="89"/>
        <v>1.078618277039546</v>
      </c>
      <c r="BB449">
        <f t="shared" si="89"/>
        <v>0.61111649103784393</v>
      </c>
      <c r="BC449">
        <f t="shared" si="89"/>
        <v>0.73810378364143614</v>
      </c>
      <c r="BD449">
        <f t="shared" si="89"/>
        <v>0.39828787946297428</v>
      </c>
    </row>
    <row r="450" spans="1:56" x14ac:dyDescent="0.2">
      <c r="A450">
        <v>24</v>
      </c>
      <c r="B450">
        <f t="shared" ref="B450:BD450" si="90">1-B394</f>
        <v>0.48779508323380427</v>
      </c>
      <c r="C450">
        <f t="shared" si="90"/>
        <v>0.58380436451095918</v>
      </c>
      <c r="D450">
        <f t="shared" si="90"/>
        <v>0.55687625752576797</v>
      </c>
      <c r="E450">
        <f t="shared" si="90"/>
        <v>0.78230847062254616</v>
      </c>
      <c r="F450">
        <f t="shared" si="90"/>
        <v>1.0097788597499204</v>
      </c>
      <c r="G450">
        <f t="shared" si="90"/>
        <v>0.99384753834971018</v>
      </c>
      <c r="H450">
        <f t="shared" si="90"/>
        <v>0.95607220926290248</v>
      </c>
      <c r="I450">
        <f t="shared" si="90"/>
        <v>1.005089613183439</v>
      </c>
      <c r="J450">
        <f t="shared" si="90"/>
        <v>0.7097744854549517</v>
      </c>
      <c r="K450">
        <f t="shared" si="90"/>
        <v>0.46102977504657872</v>
      </c>
      <c r="L450">
        <f t="shared" si="90"/>
        <v>0.83067677012748098</v>
      </c>
      <c r="M450">
        <f t="shared" si="90"/>
        <v>0.99344798159384706</v>
      </c>
      <c r="N450">
        <f t="shared" si="90"/>
        <v>0.99984496193256089</v>
      </c>
      <c r="O450">
        <f t="shared" si="90"/>
        <v>1.1501675987114151</v>
      </c>
      <c r="P450">
        <f t="shared" si="90"/>
        <v>0.65865414047515669</v>
      </c>
      <c r="Q450">
        <f t="shared" si="90"/>
        <v>0.85344615690519898</v>
      </c>
      <c r="R450">
        <f t="shared" si="90"/>
        <v>0.7894944165972082</v>
      </c>
      <c r="S450">
        <f t="shared" si="90"/>
        <v>0.31200208827133147</v>
      </c>
      <c r="T450">
        <f t="shared" si="90"/>
        <v>0.60652487619480522</v>
      </c>
      <c r="U450">
        <f t="shared" si="90"/>
        <v>0.68704304895705093</v>
      </c>
      <c r="V450">
        <f t="shared" si="90"/>
        <v>0.47199257565398745</v>
      </c>
      <c r="W450">
        <f t="shared" si="90"/>
        <v>0.64675182109486529</v>
      </c>
      <c r="X450">
        <f t="shared" si="90"/>
        <v>0.82891740041089468</v>
      </c>
      <c r="Y450">
        <f t="shared" si="90"/>
        <v>0</v>
      </c>
      <c r="Z450">
        <f t="shared" si="90"/>
        <v>0.73645953560486421</v>
      </c>
      <c r="AA450">
        <f t="shared" si="90"/>
        <v>0.47690199727277438</v>
      </c>
      <c r="AB450">
        <f t="shared" si="90"/>
        <v>1.0712027787115248</v>
      </c>
      <c r="AC450">
        <f t="shared" si="90"/>
        <v>0.67980340611545986</v>
      </c>
      <c r="AD450">
        <f t="shared" si="90"/>
        <v>0.98907015562844669</v>
      </c>
      <c r="AE450">
        <f t="shared" si="90"/>
        <v>0.8447003064394718</v>
      </c>
      <c r="AF450">
        <f t="shared" si="90"/>
        <v>0.64968787632426672</v>
      </c>
      <c r="AG450">
        <f t="shared" si="90"/>
        <v>0.83507973708522965</v>
      </c>
      <c r="AH450">
        <f t="shared" si="90"/>
        <v>0.63299306373313158</v>
      </c>
      <c r="AI450">
        <f t="shared" si="90"/>
        <v>0.67094343472180928</v>
      </c>
      <c r="AJ450">
        <f t="shared" si="90"/>
        <v>0.53774340064413306</v>
      </c>
      <c r="AK450">
        <f t="shared" si="90"/>
        <v>0.79731914518495306</v>
      </c>
      <c r="AL450">
        <f t="shared" si="90"/>
        <v>0.8195892921052661</v>
      </c>
      <c r="AM450">
        <f t="shared" si="90"/>
        <v>0.65912251829987145</v>
      </c>
      <c r="AN450">
        <f t="shared" si="90"/>
        <v>0.66878185062602413</v>
      </c>
      <c r="AO450">
        <f t="shared" si="90"/>
        <v>1.0091114595994102</v>
      </c>
      <c r="AP450">
        <f t="shared" si="90"/>
        <v>0.90200510273160095</v>
      </c>
      <c r="AQ450">
        <f t="shared" si="90"/>
        <v>0.92645748540110051</v>
      </c>
      <c r="AR450">
        <f t="shared" si="90"/>
        <v>0.83060523399844155</v>
      </c>
      <c r="AS450">
        <f t="shared" si="90"/>
        <v>0.63521843669445976</v>
      </c>
      <c r="AT450">
        <f t="shared" si="90"/>
        <v>0.57954295756914809</v>
      </c>
      <c r="AU450">
        <f t="shared" si="90"/>
        <v>0.8878077628677038</v>
      </c>
      <c r="AV450">
        <f t="shared" si="90"/>
        <v>0.92978687931970472</v>
      </c>
      <c r="AW450">
        <f t="shared" si="90"/>
        <v>0.5124778451422719</v>
      </c>
      <c r="AX450">
        <f t="shared" si="90"/>
        <v>0.99795956616968295</v>
      </c>
      <c r="AY450">
        <f t="shared" si="90"/>
        <v>1.1303503372241559</v>
      </c>
      <c r="AZ450">
        <f t="shared" si="90"/>
        <v>0.97034388167467767</v>
      </c>
      <c r="BA450">
        <f t="shared" si="90"/>
        <v>0.92866218486716434</v>
      </c>
      <c r="BB450">
        <f t="shared" si="90"/>
        <v>0.58618222262752573</v>
      </c>
      <c r="BC450">
        <f t="shared" si="90"/>
        <v>0.63833845412347312</v>
      </c>
      <c r="BD450">
        <f t="shared" si="90"/>
        <v>0.24695441886382963</v>
      </c>
    </row>
    <row r="451" spans="1:56" x14ac:dyDescent="0.2">
      <c r="A451">
        <v>25</v>
      </c>
      <c r="B451">
        <f t="shared" ref="B451:BD451" si="91">1-B395</f>
        <v>0.66510404662206624</v>
      </c>
      <c r="C451">
        <f t="shared" si="91"/>
        <v>0.70800926937713549</v>
      </c>
      <c r="D451">
        <f t="shared" si="91"/>
        <v>0.62922194970395529</v>
      </c>
      <c r="E451">
        <f t="shared" si="91"/>
        <v>0.79940903030350274</v>
      </c>
      <c r="F451">
        <f t="shared" si="91"/>
        <v>0.98804202086820525</v>
      </c>
      <c r="G451">
        <f t="shared" si="91"/>
        <v>0.90544984987056565</v>
      </c>
      <c r="H451">
        <f t="shared" si="91"/>
        <v>0.9690029114124773</v>
      </c>
      <c r="I451">
        <f t="shared" si="91"/>
        <v>0.91955162791624057</v>
      </c>
      <c r="J451">
        <f t="shared" si="91"/>
        <v>0.69303860517628113</v>
      </c>
      <c r="K451">
        <f t="shared" si="91"/>
        <v>0.68908732820707042</v>
      </c>
      <c r="L451">
        <f t="shared" si="91"/>
        <v>0.73597408615724813</v>
      </c>
      <c r="M451">
        <f t="shared" si="91"/>
        <v>0.89662768632161227</v>
      </c>
      <c r="N451">
        <f t="shared" si="91"/>
        <v>0.79392563591631504</v>
      </c>
      <c r="O451">
        <f t="shared" si="91"/>
        <v>0.94727843417193347</v>
      </c>
      <c r="P451">
        <f t="shared" si="91"/>
        <v>0.72323807158769438</v>
      </c>
      <c r="Q451">
        <f t="shared" si="91"/>
        <v>0.75288163054719603</v>
      </c>
      <c r="R451">
        <f t="shared" si="91"/>
        <v>0.74182493363458823</v>
      </c>
      <c r="S451">
        <f t="shared" si="91"/>
        <v>0.64430160628071009</v>
      </c>
      <c r="T451">
        <f t="shared" si="91"/>
        <v>0.74678300204219705</v>
      </c>
      <c r="U451">
        <f t="shared" si="91"/>
        <v>0.91943211129646008</v>
      </c>
      <c r="V451">
        <f t="shared" si="91"/>
        <v>0.65944160581490441</v>
      </c>
      <c r="W451">
        <f t="shared" si="91"/>
        <v>0.87718038971851509</v>
      </c>
      <c r="X451">
        <f t="shared" si="91"/>
        <v>0.80278475145478789</v>
      </c>
      <c r="Y451">
        <f t="shared" si="91"/>
        <v>0.73645953560486421</v>
      </c>
      <c r="Z451">
        <f t="shared" si="91"/>
        <v>0</v>
      </c>
      <c r="AA451">
        <f t="shared" si="91"/>
        <v>0.68605902120800888</v>
      </c>
      <c r="AB451">
        <f t="shared" si="91"/>
        <v>1.0896718204814635</v>
      </c>
      <c r="AC451">
        <f t="shared" si="91"/>
        <v>0.72181096990437799</v>
      </c>
      <c r="AD451">
        <f t="shared" si="91"/>
        <v>0.98210721626049224</v>
      </c>
      <c r="AE451">
        <f t="shared" si="91"/>
        <v>0.81697837866731593</v>
      </c>
      <c r="AF451">
        <f t="shared" si="91"/>
        <v>0.80303778035763074</v>
      </c>
      <c r="AG451">
        <f t="shared" si="91"/>
        <v>0.77682821861079498</v>
      </c>
      <c r="AH451">
        <f t="shared" si="91"/>
        <v>0.92774659150194516</v>
      </c>
      <c r="AI451">
        <f t="shared" si="91"/>
        <v>0.75640936150781946</v>
      </c>
      <c r="AJ451">
        <f t="shared" si="91"/>
        <v>0.70765698459055759</v>
      </c>
      <c r="AK451">
        <f t="shared" si="91"/>
        <v>0.78875787788765173</v>
      </c>
      <c r="AL451">
        <f t="shared" si="91"/>
        <v>0.76687939638626179</v>
      </c>
      <c r="AM451">
        <f t="shared" si="91"/>
        <v>0.82905685614789559</v>
      </c>
      <c r="AN451">
        <f t="shared" si="91"/>
        <v>0.83692307443748482</v>
      </c>
      <c r="AO451">
        <f t="shared" si="91"/>
        <v>1.062812025314041</v>
      </c>
      <c r="AP451">
        <f t="shared" si="91"/>
        <v>0.80337740099723254</v>
      </c>
      <c r="AQ451">
        <f t="shared" si="91"/>
        <v>0.91358637256022446</v>
      </c>
      <c r="AR451">
        <f t="shared" si="91"/>
        <v>0.69337168424448437</v>
      </c>
      <c r="AS451">
        <f t="shared" si="91"/>
        <v>0.68041255893247155</v>
      </c>
      <c r="AT451">
        <f t="shared" si="91"/>
        <v>0.63294123565794091</v>
      </c>
      <c r="AU451">
        <f t="shared" si="91"/>
        <v>0.91892269396909598</v>
      </c>
      <c r="AV451">
        <f t="shared" si="91"/>
        <v>0.98409124916076351</v>
      </c>
      <c r="AW451">
        <f t="shared" si="91"/>
        <v>0.60841095149038193</v>
      </c>
      <c r="AX451">
        <f t="shared" si="91"/>
        <v>0.91141564654002161</v>
      </c>
      <c r="AY451">
        <f t="shared" si="91"/>
        <v>0.98958049220665767</v>
      </c>
      <c r="AZ451">
        <f t="shared" si="91"/>
        <v>0.91211645826165988</v>
      </c>
      <c r="BA451">
        <f t="shared" si="91"/>
        <v>0.90875639250251528</v>
      </c>
      <c r="BB451">
        <f t="shared" si="91"/>
        <v>0.56548004806927332</v>
      </c>
      <c r="BC451">
        <f t="shared" si="91"/>
        <v>0.71493611467603269</v>
      </c>
      <c r="BD451">
        <f t="shared" si="91"/>
        <v>0.22791089693468547</v>
      </c>
    </row>
    <row r="452" spans="1:56" x14ac:dyDescent="0.2">
      <c r="A452">
        <v>26</v>
      </c>
      <c r="B452">
        <f t="shared" ref="B452:BD452" si="92">1-B396</f>
        <v>0.41811383984154638</v>
      </c>
      <c r="C452">
        <f t="shared" si="92"/>
        <v>0.47661208578416803</v>
      </c>
      <c r="D452">
        <f t="shared" si="92"/>
        <v>0.43066778093392244</v>
      </c>
      <c r="E452">
        <f t="shared" si="92"/>
        <v>0.81084153316038143</v>
      </c>
      <c r="F452">
        <f t="shared" si="92"/>
        <v>0.98555467363247728</v>
      </c>
      <c r="G452">
        <f t="shared" si="92"/>
        <v>0.8971091006191062</v>
      </c>
      <c r="H452">
        <f t="shared" si="92"/>
        <v>0.96755584995321497</v>
      </c>
      <c r="I452">
        <f t="shared" si="92"/>
        <v>0.86539177155431424</v>
      </c>
      <c r="J452">
        <f t="shared" si="92"/>
        <v>0.57669391469202047</v>
      </c>
      <c r="K452">
        <f t="shared" si="92"/>
        <v>0.38306595685320344</v>
      </c>
      <c r="L452">
        <f t="shared" si="92"/>
        <v>0.78730307113055453</v>
      </c>
      <c r="M452">
        <f t="shared" si="92"/>
        <v>0.96730056395048636</v>
      </c>
      <c r="N452">
        <f t="shared" si="92"/>
        <v>0.9675878798023464</v>
      </c>
      <c r="O452">
        <f t="shared" si="92"/>
        <v>1.0167298178004929</v>
      </c>
      <c r="P452">
        <f t="shared" si="92"/>
        <v>0.60925604119820576</v>
      </c>
      <c r="Q452">
        <f t="shared" si="92"/>
        <v>0.73090925434875831</v>
      </c>
      <c r="R452">
        <f t="shared" si="92"/>
        <v>0.67106763547524984</v>
      </c>
      <c r="S452">
        <f t="shared" si="92"/>
        <v>0.30989716347224538</v>
      </c>
      <c r="T452">
        <f t="shared" si="92"/>
        <v>0.43886316862285735</v>
      </c>
      <c r="U452">
        <f t="shared" si="92"/>
        <v>0.57450542327693355</v>
      </c>
      <c r="V452">
        <f t="shared" si="92"/>
        <v>1.3962094816091564E-2</v>
      </c>
      <c r="W452">
        <f t="shared" si="92"/>
        <v>0.46793744536484905</v>
      </c>
      <c r="X452">
        <f t="shared" si="92"/>
        <v>0.77705372125790473</v>
      </c>
      <c r="Y452">
        <f t="shared" si="92"/>
        <v>0.47690199727277438</v>
      </c>
      <c r="Z452">
        <f t="shared" si="92"/>
        <v>0.68605902120800888</v>
      </c>
      <c r="AA452">
        <f t="shared" si="92"/>
        <v>0</v>
      </c>
      <c r="AB452">
        <f t="shared" si="92"/>
        <v>1.1248097825166461</v>
      </c>
      <c r="AC452">
        <f t="shared" si="92"/>
        <v>0.62248566340144684</v>
      </c>
      <c r="AD452">
        <f t="shared" si="92"/>
        <v>0.86899039003912548</v>
      </c>
      <c r="AE452">
        <f t="shared" si="92"/>
        <v>0.72060143512690389</v>
      </c>
      <c r="AF452">
        <f t="shared" si="92"/>
        <v>0.57724029162587009</v>
      </c>
      <c r="AG452">
        <f t="shared" si="92"/>
        <v>0.71454448174054208</v>
      </c>
      <c r="AH452">
        <f t="shared" si="92"/>
        <v>0.57457728582829404</v>
      </c>
      <c r="AI452">
        <f t="shared" si="92"/>
        <v>0.59254541426251506</v>
      </c>
      <c r="AJ452">
        <f t="shared" si="92"/>
        <v>0.38886730298883854</v>
      </c>
      <c r="AK452">
        <f t="shared" si="92"/>
        <v>0.46431823262944005</v>
      </c>
      <c r="AL452">
        <f t="shared" si="92"/>
        <v>0.81308209848734503</v>
      </c>
      <c r="AM452">
        <f t="shared" si="92"/>
        <v>0.51293243397926247</v>
      </c>
      <c r="AN452">
        <f t="shared" si="92"/>
        <v>0.49282933762885694</v>
      </c>
      <c r="AO452">
        <f t="shared" si="92"/>
        <v>0.98072106941443571</v>
      </c>
      <c r="AP452">
        <f t="shared" si="92"/>
        <v>0.95671077728983633</v>
      </c>
      <c r="AQ452">
        <f t="shared" si="92"/>
        <v>0.73394204640143501</v>
      </c>
      <c r="AR452">
        <f t="shared" si="92"/>
        <v>0.6256165678453145</v>
      </c>
      <c r="AS452">
        <f t="shared" si="92"/>
        <v>0.45088410921094435</v>
      </c>
      <c r="AT452">
        <f t="shared" si="92"/>
        <v>0.46641711057084512</v>
      </c>
      <c r="AU452">
        <f t="shared" si="92"/>
        <v>0.94611179528946487</v>
      </c>
      <c r="AV452">
        <f t="shared" si="92"/>
        <v>0.94013646420416985</v>
      </c>
      <c r="AW452">
        <f t="shared" si="92"/>
        <v>0.41356590794678783</v>
      </c>
      <c r="AX452">
        <f t="shared" si="92"/>
        <v>0.85860747431438389</v>
      </c>
      <c r="AY452">
        <f t="shared" si="92"/>
        <v>1.0875425561774108</v>
      </c>
      <c r="AZ452">
        <f t="shared" si="92"/>
        <v>1.0078522198569002</v>
      </c>
      <c r="BA452">
        <f t="shared" si="92"/>
        <v>0.95139010586469963</v>
      </c>
      <c r="BB452">
        <f t="shared" si="92"/>
        <v>0.43511628641551547</v>
      </c>
      <c r="BC452">
        <f t="shared" si="92"/>
        <v>0.44928632371090327</v>
      </c>
      <c r="BD452">
        <f t="shared" si="92"/>
        <v>0.11726979891974154</v>
      </c>
    </row>
    <row r="453" spans="1:56" x14ac:dyDescent="0.2">
      <c r="A453">
        <v>27</v>
      </c>
      <c r="B453">
        <f t="shared" ref="B453:BD453" si="93">1-B397</f>
        <v>1.1081769036180664</v>
      </c>
      <c r="C453">
        <f t="shared" si="93"/>
        <v>1.1060902007345741</v>
      </c>
      <c r="D453">
        <f t="shared" si="93"/>
        <v>1.1760118434697082</v>
      </c>
      <c r="E453">
        <f t="shared" si="93"/>
        <v>1.124775535353119</v>
      </c>
      <c r="F453">
        <f t="shared" si="93"/>
        <v>0.89853299723892899</v>
      </c>
      <c r="G453">
        <f t="shared" si="93"/>
        <v>1.0065875787943179</v>
      </c>
      <c r="H453">
        <f t="shared" si="93"/>
        <v>1.0861287186522837</v>
      </c>
      <c r="I453">
        <f t="shared" si="93"/>
        <v>0.95489483688365762</v>
      </c>
      <c r="J453">
        <f t="shared" si="93"/>
        <v>1.1605810857343282</v>
      </c>
      <c r="K453">
        <f t="shared" si="93"/>
        <v>1.1407672275701177</v>
      </c>
      <c r="L453">
        <f t="shared" si="93"/>
        <v>1.1626155450883879</v>
      </c>
      <c r="M453">
        <f t="shared" si="93"/>
        <v>0.92891810105744488</v>
      </c>
      <c r="N453">
        <f t="shared" si="93"/>
        <v>0.90310572281937462</v>
      </c>
      <c r="O453">
        <f t="shared" si="93"/>
        <v>0.96175812135494265</v>
      </c>
      <c r="P453">
        <f t="shared" si="93"/>
        <v>1.1243637407996228</v>
      </c>
      <c r="Q453">
        <f t="shared" si="93"/>
        <v>1.2248693068114271</v>
      </c>
      <c r="R453">
        <f t="shared" si="93"/>
        <v>1.1932579273266863</v>
      </c>
      <c r="S453">
        <f t="shared" si="93"/>
        <v>1.0592368049204866</v>
      </c>
      <c r="T453">
        <f t="shared" si="93"/>
        <v>1.231606563480895</v>
      </c>
      <c r="U453">
        <f t="shared" si="93"/>
        <v>0.94940742805612388</v>
      </c>
      <c r="V453">
        <f t="shared" si="93"/>
        <v>1.1555501857739467</v>
      </c>
      <c r="W453">
        <f t="shared" si="93"/>
        <v>1.2304804137956864</v>
      </c>
      <c r="X453">
        <f t="shared" si="93"/>
        <v>1.2533591720887405</v>
      </c>
      <c r="Y453">
        <f t="shared" si="93"/>
        <v>1.0712027787115248</v>
      </c>
      <c r="Z453">
        <f t="shared" si="93"/>
        <v>1.0896718204814635</v>
      </c>
      <c r="AA453">
        <f t="shared" si="93"/>
        <v>1.1248097825166461</v>
      </c>
      <c r="AB453">
        <f t="shared" si="93"/>
        <v>0</v>
      </c>
      <c r="AC453">
        <f t="shared" si="93"/>
        <v>1.1120059605718424</v>
      </c>
      <c r="AD453">
        <f t="shared" si="93"/>
        <v>1.3126641441571643</v>
      </c>
      <c r="AE453">
        <f t="shared" si="93"/>
        <v>1.1010931346418946</v>
      </c>
      <c r="AF453">
        <f t="shared" si="93"/>
        <v>1.1399838283422947</v>
      </c>
      <c r="AG453">
        <f t="shared" si="93"/>
        <v>1.0400637719309456</v>
      </c>
      <c r="AH453">
        <f t="shared" si="93"/>
        <v>1.1255294777047948</v>
      </c>
      <c r="AI453">
        <f t="shared" si="93"/>
        <v>1.0642396203268643</v>
      </c>
      <c r="AJ453">
        <f t="shared" si="93"/>
        <v>1.3432931906724122</v>
      </c>
      <c r="AK453">
        <f t="shared" si="93"/>
        <v>1.1095890529881174</v>
      </c>
      <c r="AL453">
        <f t="shared" si="93"/>
        <v>1.3023134147654618</v>
      </c>
      <c r="AM453">
        <f t="shared" si="93"/>
        <v>1.096770616754583</v>
      </c>
      <c r="AN453">
        <f t="shared" si="93"/>
        <v>1.1002304207760338</v>
      </c>
      <c r="AO453">
        <f t="shared" si="93"/>
        <v>0.94380840409489886</v>
      </c>
      <c r="AP453">
        <f t="shared" si="93"/>
        <v>0.7562283205583904</v>
      </c>
      <c r="AQ453">
        <f t="shared" si="93"/>
        <v>1.151633722934873</v>
      </c>
      <c r="AR453">
        <f t="shared" si="93"/>
        <v>1.1824896806242542</v>
      </c>
      <c r="AS453">
        <f t="shared" si="93"/>
        <v>1.1172898440068688</v>
      </c>
      <c r="AT453">
        <f t="shared" si="93"/>
        <v>1.1281923847157469</v>
      </c>
      <c r="AU453">
        <f t="shared" si="93"/>
        <v>1.2109491002806518</v>
      </c>
      <c r="AV453">
        <f t="shared" si="93"/>
        <v>0.9796295726200468</v>
      </c>
      <c r="AW453">
        <f t="shared" si="93"/>
        <v>1.1171694722655041</v>
      </c>
      <c r="AX453">
        <f t="shared" si="93"/>
        <v>0.94082965746670721</v>
      </c>
      <c r="AY453">
        <f t="shared" si="93"/>
        <v>0.87563745153778894</v>
      </c>
      <c r="AZ453">
        <f t="shared" si="93"/>
        <v>1.0169588945985015</v>
      </c>
      <c r="BA453">
        <f t="shared" si="93"/>
        <v>1.0992563073456845</v>
      </c>
      <c r="BB453">
        <f t="shared" si="93"/>
        <v>1.1787082010066954</v>
      </c>
      <c r="BC453">
        <f t="shared" si="93"/>
        <v>1.1350425081991879</v>
      </c>
      <c r="BD453">
        <f t="shared" si="93"/>
        <v>1.0880200394734028</v>
      </c>
    </row>
    <row r="454" spans="1:56" x14ac:dyDescent="0.2">
      <c r="A454">
        <v>28</v>
      </c>
      <c r="B454">
        <f t="shared" ref="B454:BD454" si="94">1-B398</f>
        <v>0.70755277684390783</v>
      </c>
      <c r="C454">
        <f t="shared" si="94"/>
        <v>0.68536901772854586</v>
      </c>
      <c r="D454">
        <f t="shared" si="94"/>
        <v>0.60559631109614764</v>
      </c>
      <c r="E454">
        <f t="shared" si="94"/>
        <v>0.88380446305353555</v>
      </c>
      <c r="F454">
        <f t="shared" si="94"/>
        <v>1.0314300438844379</v>
      </c>
      <c r="G454">
        <f t="shared" si="94"/>
        <v>0.77368655807519915</v>
      </c>
      <c r="H454">
        <f t="shared" si="94"/>
        <v>0.97057223790558866</v>
      </c>
      <c r="I454">
        <f t="shared" si="94"/>
        <v>0.83862802470377118</v>
      </c>
      <c r="J454">
        <f t="shared" si="94"/>
        <v>0.65585025569114497</v>
      </c>
      <c r="K454">
        <f t="shared" si="94"/>
        <v>0.53122334096811996</v>
      </c>
      <c r="L454">
        <f t="shared" si="94"/>
        <v>0.61615159907449013</v>
      </c>
      <c r="M454">
        <f t="shared" si="94"/>
        <v>0.90639366341506133</v>
      </c>
      <c r="N454">
        <f t="shared" si="94"/>
        <v>0.92493099965185566</v>
      </c>
      <c r="O454">
        <f t="shared" si="94"/>
        <v>0.91091381528810933</v>
      </c>
      <c r="P454">
        <f t="shared" si="94"/>
        <v>0.57690782653334072</v>
      </c>
      <c r="Q454">
        <f t="shared" si="94"/>
        <v>0.74031321968370833</v>
      </c>
      <c r="R454">
        <f t="shared" si="94"/>
        <v>0.64903536385723259</v>
      </c>
      <c r="S454">
        <f t="shared" si="94"/>
        <v>0.38638182172224833</v>
      </c>
      <c r="T454">
        <f t="shared" si="94"/>
        <v>0.65113013677006726</v>
      </c>
      <c r="U454">
        <f t="shared" si="94"/>
        <v>0.94013166247766322</v>
      </c>
      <c r="V454">
        <f t="shared" si="94"/>
        <v>0.61396788895772936</v>
      </c>
      <c r="W454">
        <f t="shared" si="94"/>
        <v>0.72049059491404743</v>
      </c>
      <c r="X454">
        <f t="shared" si="94"/>
        <v>0.81856036446048608</v>
      </c>
      <c r="Y454">
        <f t="shared" si="94"/>
        <v>0.67980340611545986</v>
      </c>
      <c r="Z454">
        <f t="shared" si="94"/>
        <v>0.72181096990437799</v>
      </c>
      <c r="AA454">
        <f t="shared" si="94"/>
        <v>0.62248566340144684</v>
      </c>
      <c r="AB454">
        <f t="shared" si="94"/>
        <v>1.1120059605718424</v>
      </c>
      <c r="AC454">
        <f t="shared" si="94"/>
        <v>0</v>
      </c>
      <c r="AD454">
        <f t="shared" si="94"/>
        <v>0.89103397848521393</v>
      </c>
      <c r="AE454">
        <f t="shared" si="94"/>
        <v>0.83648928251635868</v>
      </c>
      <c r="AF454">
        <f t="shared" si="94"/>
        <v>0.76997377922653776</v>
      </c>
      <c r="AG454">
        <f t="shared" si="94"/>
        <v>0.83814714107526278</v>
      </c>
      <c r="AH454">
        <f t="shared" si="94"/>
        <v>0.85914649619360639</v>
      </c>
      <c r="AI454">
        <f t="shared" si="94"/>
        <v>0.57536633071928145</v>
      </c>
      <c r="AJ454">
        <f t="shared" si="94"/>
        <v>0.45690694059752091</v>
      </c>
      <c r="AK454">
        <f t="shared" si="94"/>
        <v>0.83269542345616832</v>
      </c>
      <c r="AL454">
        <f t="shared" si="94"/>
        <v>0.7926120848239685</v>
      </c>
      <c r="AM454">
        <f t="shared" si="94"/>
        <v>0.79288410732687742</v>
      </c>
      <c r="AN454">
        <f t="shared" si="94"/>
        <v>0.80207150323516641</v>
      </c>
      <c r="AO454">
        <f t="shared" si="94"/>
        <v>0.94714104924832732</v>
      </c>
      <c r="AP454">
        <f t="shared" si="94"/>
        <v>0.79676490830168423</v>
      </c>
      <c r="AQ454">
        <f t="shared" si="94"/>
        <v>0.81437593618399617</v>
      </c>
      <c r="AR454">
        <f t="shared" si="94"/>
        <v>0.75267038287220522</v>
      </c>
      <c r="AS454">
        <f t="shared" si="94"/>
        <v>0.63218789239460049</v>
      </c>
      <c r="AT454">
        <f t="shared" si="94"/>
        <v>0.6102944585517146</v>
      </c>
      <c r="AU454">
        <f t="shared" si="94"/>
        <v>0.92405531049261491</v>
      </c>
      <c r="AV454">
        <f t="shared" si="94"/>
        <v>0.94271650121469519</v>
      </c>
      <c r="AW454">
        <f t="shared" si="94"/>
        <v>0.65767384569044307</v>
      </c>
      <c r="AX454">
        <f t="shared" si="94"/>
        <v>0.79035903415939579</v>
      </c>
      <c r="AY454">
        <f t="shared" si="94"/>
        <v>1.1010462263229337</v>
      </c>
      <c r="AZ454">
        <f t="shared" si="94"/>
        <v>0.99786829365321583</v>
      </c>
      <c r="BA454">
        <f t="shared" si="94"/>
        <v>1.0191480192744244</v>
      </c>
      <c r="BB454">
        <f t="shared" si="94"/>
        <v>0.60613919227760737</v>
      </c>
      <c r="BC454">
        <f t="shared" si="94"/>
        <v>0.69398509768894723</v>
      </c>
      <c r="BD454">
        <f t="shared" si="94"/>
        <v>0.18219054603747287</v>
      </c>
    </row>
    <row r="455" spans="1:56" x14ac:dyDescent="0.2">
      <c r="A455">
        <v>29</v>
      </c>
      <c r="B455">
        <f t="shared" ref="B455:BD455" si="95">1-B399</f>
        <v>0.98121534644437303</v>
      </c>
      <c r="C455">
        <f t="shared" si="95"/>
        <v>0.85236079505080453</v>
      </c>
      <c r="D455">
        <f t="shared" si="95"/>
        <v>1.0758993973350988</v>
      </c>
      <c r="E455">
        <f t="shared" si="95"/>
        <v>1.0737624358181994</v>
      </c>
      <c r="F455">
        <f t="shared" si="95"/>
        <v>0.94905949197487305</v>
      </c>
      <c r="G455">
        <f t="shared" si="95"/>
        <v>0.7802281308362653</v>
      </c>
      <c r="H455">
        <f t="shared" si="95"/>
        <v>0.92569670945957405</v>
      </c>
      <c r="I455">
        <f t="shared" si="95"/>
        <v>0.69499765917455814</v>
      </c>
      <c r="J455">
        <f t="shared" si="95"/>
        <v>0.80988917262181548</v>
      </c>
      <c r="K455">
        <f t="shared" si="95"/>
        <v>1.069932795020913</v>
      </c>
      <c r="L455">
        <f t="shared" si="95"/>
        <v>0.87836288342804059</v>
      </c>
      <c r="M455">
        <f t="shared" si="95"/>
        <v>0.89255257914335095</v>
      </c>
      <c r="N455">
        <f t="shared" si="95"/>
        <v>0.95104296495367935</v>
      </c>
      <c r="O455">
        <f t="shared" si="95"/>
        <v>0.88033267737064369</v>
      </c>
      <c r="P455">
        <f t="shared" si="95"/>
        <v>0.84364803397643251</v>
      </c>
      <c r="Q455">
        <f t="shared" si="95"/>
        <v>0.88461829548626303</v>
      </c>
      <c r="R455">
        <f t="shared" si="95"/>
        <v>0.94078599026644727</v>
      </c>
      <c r="S455">
        <f t="shared" si="95"/>
        <v>0.95277799410165465</v>
      </c>
      <c r="T455">
        <f t="shared" si="95"/>
        <v>0.91028743713066396</v>
      </c>
      <c r="U455">
        <f t="shared" si="95"/>
        <v>1.0423570262669868</v>
      </c>
      <c r="V455">
        <f t="shared" si="95"/>
        <v>0.86627169508600854</v>
      </c>
      <c r="W455">
        <f t="shared" si="95"/>
        <v>0.88728239494397221</v>
      </c>
      <c r="X455">
        <f t="shared" si="95"/>
        <v>0.9714648697390198</v>
      </c>
      <c r="Y455">
        <f t="shared" si="95"/>
        <v>0.98907015562844669</v>
      </c>
      <c r="Z455">
        <f t="shared" si="95"/>
        <v>0.98210721626049224</v>
      </c>
      <c r="AA455">
        <f t="shared" si="95"/>
        <v>0.86899039003912548</v>
      </c>
      <c r="AB455">
        <f t="shared" si="95"/>
        <v>1.3126641441571643</v>
      </c>
      <c r="AC455">
        <f t="shared" si="95"/>
        <v>0.89103397848521393</v>
      </c>
      <c r="AD455">
        <f t="shared" si="95"/>
        <v>0</v>
      </c>
      <c r="AE455">
        <f t="shared" si="95"/>
        <v>0.93538900782155787</v>
      </c>
      <c r="AF455">
        <f t="shared" si="95"/>
        <v>1.0805931285774966</v>
      </c>
      <c r="AG455">
        <f t="shared" si="95"/>
        <v>0.91632583515517907</v>
      </c>
      <c r="AH455">
        <f t="shared" si="95"/>
        <v>1.0136049414507793</v>
      </c>
      <c r="AI455">
        <f t="shared" si="95"/>
        <v>0.94606538237270887</v>
      </c>
      <c r="AJ455">
        <f t="shared" si="95"/>
        <v>1.0954321756732761</v>
      </c>
      <c r="AK455">
        <f t="shared" si="95"/>
        <v>0.85721272459822984</v>
      </c>
      <c r="AL455">
        <f t="shared" si="95"/>
        <v>0.95479530866009688</v>
      </c>
      <c r="AM455">
        <f t="shared" si="95"/>
        <v>1.0008372874387093</v>
      </c>
      <c r="AN455">
        <f t="shared" si="95"/>
        <v>0.99697416862162158</v>
      </c>
      <c r="AO455">
        <f t="shared" si="95"/>
        <v>0.89808325900302899</v>
      </c>
      <c r="AP455">
        <f t="shared" si="95"/>
        <v>0.96980924999555063</v>
      </c>
      <c r="AQ455">
        <f t="shared" si="95"/>
        <v>0.87053141822812385</v>
      </c>
      <c r="AR455">
        <f t="shared" si="95"/>
        <v>1.01406679618428</v>
      </c>
      <c r="AS455">
        <f t="shared" si="95"/>
        <v>0.84269918369023755</v>
      </c>
      <c r="AT455">
        <f t="shared" si="95"/>
        <v>0.83201640150109113</v>
      </c>
      <c r="AU455">
        <f t="shared" si="95"/>
        <v>1.015039102637797</v>
      </c>
      <c r="AV455">
        <f t="shared" si="95"/>
        <v>0.98811255558495248</v>
      </c>
      <c r="AW455">
        <f t="shared" si="95"/>
        <v>0.86266412791013924</v>
      </c>
      <c r="AX455">
        <f t="shared" si="95"/>
        <v>0.72457004118503843</v>
      </c>
      <c r="AY455">
        <f t="shared" si="95"/>
        <v>0.92892349502490146</v>
      </c>
      <c r="AZ455">
        <f t="shared" si="95"/>
        <v>0.94253361054603502</v>
      </c>
      <c r="BA455">
        <f t="shared" si="95"/>
        <v>1.0877957464785215</v>
      </c>
      <c r="BB455">
        <f t="shared" si="95"/>
        <v>1.019501106996372</v>
      </c>
      <c r="BC455">
        <f t="shared" si="95"/>
        <v>0.98187800254128976</v>
      </c>
      <c r="BD455">
        <f t="shared" si="95"/>
        <v>0.73917229969738285</v>
      </c>
    </row>
    <row r="456" spans="1:56" x14ac:dyDescent="0.2">
      <c r="A456">
        <v>30</v>
      </c>
      <c r="B456">
        <f t="shared" ref="B456:BD456" si="96">1-B400</f>
        <v>0.85787553088716328</v>
      </c>
      <c r="C456">
        <f t="shared" si="96"/>
        <v>0.69897483472867816</v>
      </c>
      <c r="D456">
        <f t="shared" si="96"/>
        <v>0.74732196217928626</v>
      </c>
      <c r="E456">
        <f t="shared" si="96"/>
        <v>0.98322957926382959</v>
      </c>
      <c r="F456">
        <f t="shared" si="96"/>
        <v>0.82665526390167343</v>
      </c>
      <c r="G456">
        <f t="shared" si="96"/>
        <v>0.73838187734419625</v>
      </c>
      <c r="H456">
        <f t="shared" si="96"/>
        <v>1.0285626973241655</v>
      </c>
      <c r="I456">
        <f t="shared" si="96"/>
        <v>0.6166920498512668</v>
      </c>
      <c r="J456">
        <f t="shared" si="96"/>
        <v>0.64713105293627482</v>
      </c>
      <c r="K456">
        <f t="shared" si="96"/>
        <v>0.68151356486004566</v>
      </c>
      <c r="L456">
        <f t="shared" si="96"/>
        <v>0.81623549913681248</v>
      </c>
      <c r="M456">
        <f t="shared" si="96"/>
        <v>0.90647368477674761</v>
      </c>
      <c r="N456">
        <f t="shared" si="96"/>
        <v>0.9804207072290293</v>
      </c>
      <c r="O456">
        <f t="shared" si="96"/>
        <v>0.91586191852965959</v>
      </c>
      <c r="P456">
        <f t="shared" si="96"/>
        <v>0.76581620480460277</v>
      </c>
      <c r="Q456">
        <f t="shared" si="96"/>
        <v>0.67539625224400712</v>
      </c>
      <c r="R456">
        <f t="shared" si="96"/>
        <v>0.77397389093728353</v>
      </c>
      <c r="S456">
        <f t="shared" si="96"/>
        <v>0.82414994293250654</v>
      </c>
      <c r="T456">
        <f t="shared" si="96"/>
        <v>0.79486413977908132</v>
      </c>
      <c r="U456">
        <f t="shared" si="96"/>
        <v>0.80841256543304785</v>
      </c>
      <c r="V456">
        <f t="shared" si="96"/>
        <v>0.72934238661051398</v>
      </c>
      <c r="W456">
        <f t="shared" si="96"/>
        <v>0.82223368832826516</v>
      </c>
      <c r="X456">
        <f t="shared" si="96"/>
        <v>0.80612513761945337</v>
      </c>
      <c r="Y456">
        <f t="shared" si="96"/>
        <v>0.8447003064394718</v>
      </c>
      <c r="Z456">
        <f t="shared" si="96"/>
        <v>0.81697837866731593</v>
      </c>
      <c r="AA456">
        <f t="shared" si="96"/>
        <v>0.72060143512690389</v>
      </c>
      <c r="AB456">
        <f t="shared" si="96"/>
        <v>1.1010931346418946</v>
      </c>
      <c r="AC456">
        <f t="shared" si="96"/>
        <v>0.83648928251635868</v>
      </c>
      <c r="AD456">
        <f t="shared" si="96"/>
        <v>0.93538900782155787</v>
      </c>
      <c r="AE456">
        <f t="shared" si="96"/>
        <v>0</v>
      </c>
      <c r="AF456">
        <f t="shared" si="96"/>
        <v>0.79476723223992318</v>
      </c>
      <c r="AG456">
        <f t="shared" si="96"/>
        <v>0.8304397135935141</v>
      </c>
      <c r="AH456">
        <f t="shared" si="96"/>
        <v>0.89114749522255721</v>
      </c>
      <c r="AI456">
        <f t="shared" si="96"/>
        <v>0.85382234978022697</v>
      </c>
      <c r="AJ456">
        <f t="shared" si="96"/>
        <v>0.79863189739012153</v>
      </c>
      <c r="AK456">
        <f t="shared" si="96"/>
        <v>0.8727807612071119</v>
      </c>
      <c r="AL456">
        <f t="shared" si="96"/>
        <v>0.89531155952272412</v>
      </c>
      <c r="AM456">
        <f t="shared" si="96"/>
        <v>0.88695338474779062</v>
      </c>
      <c r="AN456">
        <f t="shared" si="96"/>
        <v>0.88932118578837982</v>
      </c>
      <c r="AO456">
        <f t="shared" si="96"/>
        <v>1.0034586785163493</v>
      </c>
      <c r="AP456">
        <f t="shared" si="96"/>
        <v>0.90554225650416831</v>
      </c>
      <c r="AQ456">
        <f t="shared" si="96"/>
        <v>0.85765279792905269</v>
      </c>
      <c r="AR456">
        <f t="shared" si="96"/>
        <v>0.67105441743903849</v>
      </c>
      <c r="AS456">
        <f t="shared" si="96"/>
        <v>0.72242761153544399</v>
      </c>
      <c r="AT456">
        <f t="shared" si="96"/>
        <v>0.77303343598591856</v>
      </c>
      <c r="AU456">
        <f t="shared" si="96"/>
        <v>0.98408003106121955</v>
      </c>
      <c r="AV456">
        <f t="shared" si="96"/>
        <v>0.91952390062468325</v>
      </c>
      <c r="AW456">
        <f t="shared" si="96"/>
        <v>0.63729020214996801</v>
      </c>
      <c r="AX456">
        <f t="shared" si="96"/>
        <v>0.67523422900098273</v>
      </c>
      <c r="AY456">
        <f t="shared" si="96"/>
        <v>0.93701137697273262</v>
      </c>
      <c r="AZ456">
        <f t="shared" si="96"/>
        <v>1.046530969885751</v>
      </c>
      <c r="BA456">
        <f t="shared" si="96"/>
        <v>1.002176267701931</v>
      </c>
      <c r="BB456">
        <f t="shared" si="96"/>
        <v>0.55814776181714632</v>
      </c>
      <c r="BC456">
        <f t="shared" si="96"/>
        <v>0.79407239163925569</v>
      </c>
      <c r="BD456">
        <f t="shared" si="96"/>
        <v>0.76281539223815564</v>
      </c>
    </row>
    <row r="457" spans="1:56" x14ac:dyDescent="0.2">
      <c r="A457">
        <v>31</v>
      </c>
      <c r="B457">
        <f t="shared" ref="B457:BD457" si="97">1-B401</f>
        <v>0.61440409591796108</v>
      </c>
      <c r="C457">
        <f t="shared" si="97"/>
        <v>0.69468861441396679</v>
      </c>
      <c r="D457">
        <f t="shared" si="97"/>
        <v>0.47002338440673497</v>
      </c>
      <c r="E457">
        <f t="shared" si="97"/>
        <v>0.78371269379050035</v>
      </c>
      <c r="F457">
        <f t="shared" si="97"/>
        <v>0.99703737877007725</v>
      </c>
      <c r="G457">
        <f t="shared" si="97"/>
        <v>0.93096031749623209</v>
      </c>
      <c r="H457">
        <f t="shared" si="97"/>
        <v>1.0262105698958259</v>
      </c>
      <c r="I457">
        <f t="shared" si="97"/>
        <v>0.92642583800386424</v>
      </c>
      <c r="J457">
        <f t="shared" si="97"/>
        <v>0.74971278704275279</v>
      </c>
      <c r="K457">
        <f t="shared" si="97"/>
        <v>0.57069498178364686</v>
      </c>
      <c r="L457">
        <f t="shared" si="97"/>
        <v>0.90979691029496745</v>
      </c>
      <c r="M457">
        <f t="shared" si="97"/>
        <v>1.0122049381299882</v>
      </c>
      <c r="N457">
        <f t="shared" si="97"/>
        <v>0.96120752710358359</v>
      </c>
      <c r="O457">
        <f t="shared" si="97"/>
        <v>1.0049833599845388</v>
      </c>
      <c r="P457">
        <f t="shared" si="97"/>
        <v>0.7256019195902168</v>
      </c>
      <c r="Q457">
        <f t="shared" si="97"/>
        <v>0.85205195228155772</v>
      </c>
      <c r="R457">
        <f t="shared" si="97"/>
        <v>0.80265493316195369</v>
      </c>
      <c r="S457">
        <f t="shared" si="97"/>
        <v>0.39235820578212688</v>
      </c>
      <c r="T457">
        <f t="shared" si="97"/>
        <v>0.71396402422311434</v>
      </c>
      <c r="U457">
        <f t="shared" si="97"/>
        <v>0.69806216956113964</v>
      </c>
      <c r="V457">
        <f t="shared" si="97"/>
        <v>0.56592220655438064</v>
      </c>
      <c r="W457">
        <f t="shared" si="97"/>
        <v>0.7832610153471895</v>
      </c>
      <c r="X457">
        <f t="shared" si="97"/>
        <v>0.87298704807951544</v>
      </c>
      <c r="Y457">
        <f t="shared" si="97"/>
        <v>0.64968787632426672</v>
      </c>
      <c r="Z457">
        <f t="shared" si="97"/>
        <v>0.80303778035763074</v>
      </c>
      <c r="AA457">
        <f t="shared" si="97"/>
        <v>0.57724029162587009</v>
      </c>
      <c r="AB457">
        <f t="shared" si="97"/>
        <v>1.1399838283422947</v>
      </c>
      <c r="AC457">
        <f t="shared" si="97"/>
        <v>0.76997377922653776</v>
      </c>
      <c r="AD457">
        <f t="shared" si="97"/>
        <v>1.0805931285774966</v>
      </c>
      <c r="AE457">
        <f t="shared" si="97"/>
        <v>0.79476723223992318</v>
      </c>
      <c r="AF457">
        <f t="shared" si="97"/>
        <v>0</v>
      </c>
      <c r="AG457">
        <f t="shared" si="97"/>
        <v>0.91387169274970337</v>
      </c>
      <c r="AH457">
        <f t="shared" si="97"/>
        <v>0.69015049572970333</v>
      </c>
      <c r="AI457">
        <f t="shared" si="97"/>
        <v>0.68130849936666027</v>
      </c>
      <c r="AJ457">
        <f t="shared" si="97"/>
        <v>0.398765086435237</v>
      </c>
      <c r="AK457">
        <f t="shared" si="97"/>
        <v>0.82579045514742466</v>
      </c>
      <c r="AL457">
        <f t="shared" si="97"/>
        <v>0.85628448265121182</v>
      </c>
      <c r="AM457">
        <f t="shared" si="97"/>
        <v>0.6664655596497866</v>
      </c>
      <c r="AN457">
        <f t="shared" si="97"/>
        <v>0.6578210464087807</v>
      </c>
      <c r="AO457">
        <f t="shared" si="97"/>
        <v>0.97706067560652143</v>
      </c>
      <c r="AP457">
        <f t="shared" si="97"/>
        <v>0.93489710506003776</v>
      </c>
      <c r="AQ457">
        <f t="shared" si="97"/>
        <v>0.83668679755593112</v>
      </c>
      <c r="AR457">
        <f t="shared" si="97"/>
        <v>0.80489559457455462</v>
      </c>
      <c r="AS457">
        <f t="shared" si="97"/>
        <v>0.72102684962444807</v>
      </c>
      <c r="AT457">
        <f t="shared" si="97"/>
        <v>0.48785389935944079</v>
      </c>
      <c r="AU457">
        <f t="shared" si="97"/>
        <v>1.0351893285224307</v>
      </c>
      <c r="AV457">
        <f t="shared" si="97"/>
        <v>1.0187869808493049</v>
      </c>
      <c r="AW457">
        <f t="shared" si="97"/>
        <v>0.54967376645776267</v>
      </c>
      <c r="AX457">
        <f t="shared" si="97"/>
        <v>0.92249094530494569</v>
      </c>
      <c r="AY457">
        <f t="shared" si="97"/>
        <v>1.1392681960001076</v>
      </c>
      <c r="AZ457">
        <f t="shared" si="97"/>
        <v>1.0160278554333839</v>
      </c>
      <c r="BA457">
        <f t="shared" si="97"/>
        <v>1.0332071873189941</v>
      </c>
      <c r="BB457">
        <f t="shared" si="97"/>
        <v>0.68681373563982862</v>
      </c>
      <c r="BC457">
        <f t="shared" si="97"/>
        <v>0.65683542359172742</v>
      </c>
      <c r="BD457">
        <f t="shared" si="97"/>
        <v>0.34303706430894321</v>
      </c>
    </row>
    <row r="458" spans="1:56" x14ac:dyDescent="0.2">
      <c r="A458">
        <v>32</v>
      </c>
      <c r="B458">
        <f t="shared" ref="B458:BD458" si="98">1-B402</f>
        <v>0.71101034901311233</v>
      </c>
      <c r="C458">
        <f t="shared" si="98"/>
        <v>0.81063694517132112</v>
      </c>
      <c r="D458">
        <f t="shared" si="98"/>
        <v>0.76600569727368395</v>
      </c>
      <c r="E458">
        <f t="shared" si="98"/>
        <v>0.88048998915314558</v>
      </c>
      <c r="F458">
        <f t="shared" si="98"/>
        <v>0.93145996046529467</v>
      </c>
      <c r="G458">
        <f t="shared" si="98"/>
        <v>0.82908057038636962</v>
      </c>
      <c r="H458">
        <f t="shared" si="98"/>
        <v>0.99934660029091316</v>
      </c>
      <c r="I458">
        <f t="shared" si="98"/>
        <v>0.84114415060481618</v>
      </c>
      <c r="J458">
        <f t="shared" si="98"/>
        <v>0.75905185552523724</v>
      </c>
      <c r="K458">
        <f t="shared" si="98"/>
        <v>0.76496985340131818</v>
      </c>
      <c r="L458">
        <f t="shared" si="98"/>
        <v>0.89779614511958972</v>
      </c>
      <c r="M458">
        <f t="shared" si="98"/>
        <v>0.83068565457811483</v>
      </c>
      <c r="N458">
        <f t="shared" si="98"/>
        <v>0.93135765174567786</v>
      </c>
      <c r="O458">
        <f t="shared" si="98"/>
        <v>0.98605552182809519</v>
      </c>
      <c r="P458">
        <f t="shared" si="98"/>
        <v>0.78721289413528694</v>
      </c>
      <c r="Q458">
        <f t="shared" si="98"/>
        <v>0.7843229863348502</v>
      </c>
      <c r="R458">
        <f t="shared" si="98"/>
        <v>0.74524129296393626</v>
      </c>
      <c r="S458">
        <f t="shared" si="98"/>
        <v>0.86802557819521231</v>
      </c>
      <c r="T458">
        <f t="shared" si="98"/>
        <v>0.75240467656008259</v>
      </c>
      <c r="U458">
        <f t="shared" si="98"/>
        <v>1.0505702756733701</v>
      </c>
      <c r="V458">
        <f t="shared" si="98"/>
        <v>0.68099886953749245</v>
      </c>
      <c r="W458">
        <f t="shared" si="98"/>
        <v>0.80448828282048224</v>
      </c>
      <c r="X458">
        <f t="shared" si="98"/>
        <v>0.95064677197938008</v>
      </c>
      <c r="Y458">
        <f t="shared" si="98"/>
        <v>0.83507973708522965</v>
      </c>
      <c r="Z458">
        <f t="shared" si="98"/>
        <v>0.77682821861079498</v>
      </c>
      <c r="AA458">
        <f t="shared" si="98"/>
        <v>0.71454448174054208</v>
      </c>
      <c r="AB458">
        <f t="shared" si="98"/>
        <v>1.0400637719309456</v>
      </c>
      <c r="AC458">
        <f t="shared" si="98"/>
        <v>0.83814714107526278</v>
      </c>
      <c r="AD458">
        <f t="shared" si="98"/>
        <v>0.91632583515517907</v>
      </c>
      <c r="AE458">
        <f t="shared" si="98"/>
        <v>0.8304397135935141</v>
      </c>
      <c r="AF458">
        <f t="shared" si="98"/>
        <v>0.91387169274970337</v>
      </c>
      <c r="AG458">
        <f t="shared" si="98"/>
        <v>0</v>
      </c>
      <c r="AH458">
        <f t="shared" si="98"/>
        <v>0.77008041254444703</v>
      </c>
      <c r="AI458">
        <f t="shared" si="98"/>
        <v>0.98037146612398318</v>
      </c>
      <c r="AJ458">
        <f t="shared" si="98"/>
        <v>0.81261065775311969</v>
      </c>
      <c r="AK458">
        <f t="shared" si="98"/>
        <v>0.93979837243849695</v>
      </c>
      <c r="AL458">
        <f t="shared" si="98"/>
        <v>0.76636043786840435</v>
      </c>
      <c r="AM458">
        <f t="shared" si="98"/>
        <v>0.95450464200479679</v>
      </c>
      <c r="AN458">
        <f t="shared" si="98"/>
        <v>0.93787733330302936</v>
      </c>
      <c r="AO458">
        <f t="shared" si="98"/>
        <v>1.039815590801062</v>
      </c>
      <c r="AP458">
        <f t="shared" si="98"/>
        <v>0.90677028531237669</v>
      </c>
      <c r="AQ458">
        <f t="shared" si="98"/>
        <v>0.96445902012143092</v>
      </c>
      <c r="AR458">
        <f t="shared" si="98"/>
        <v>0.77272798265427189</v>
      </c>
      <c r="AS458">
        <f t="shared" si="98"/>
        <v>0.64934060310933472</v>
      </c>
      <c r="AT458">
        <f t="shared" si="98"/>
        <v>0.77285087607013569</v>
      </c>
      <c r="AU458">
        <f t="shared" si="98"/>
        <v>0.95399322193766001</v>
      </c>
      <c r="AV458">
        <f t="shared" si="98"/>
        <v>1.0007846826040614</v>
      </c>
      <c r="AW458">
        <f t="shared" si="98"/>
        <v>0.77194470761305922</v>
      </c>
      <c r="AX458">
        <f t="shared" si="98"/>
        <v>0.84899324684009159</v>
      </c>
      <c r="AY458">
        <f t="shared" si="98"/>
        <v>1.1045363171078442</v>
      </c>
      <c r="AZ458">
        <f t="shared" si="98"/>
        <v>0.9794827174797931</v>
      </c>
      <c r="BA458">
        <f t="shared" si="98"/>
        <v>1.0158947034351575</v>
      </c>
      <c r="BB458">
        <f t="shared" si="98"/>
        <v>0.72800875534321263</v>
      </c>
      <c r="BC458">
        <f t="shared" si="98"/>
        <v>0.84831349742113604</v>
      </c>
      <c r="BD458">
        <f t="shared" si="98"/>
        <v>0.8389329938049741</v>
      </c>
    </row>
    <row r="459" spans="1:56" x14ac:dyDescent="0.2">
      <c r="A459">
        <v>33</v>
      </c>
      <c r="B459">
        <f t="shared" ref="B459:BD459" si="99">1-B403</f>
        <v>0.57959797403171676</v>
      </c>
      <c r="C459">
        <f t="shared" si="99"/>
        <v>0.74627350046541707</v>
      </c>
      <c r="D459">
        <f t="shared" si="99"/>
        <v>0.57324676878645198</v>
      </c>
      <c r="E459">
        <f t="shared" si="99"/>
        <v>0.75623596521905045</v>
      </c>
      <c r="F459">
        <f t="shared" si="99"/>
        <v>1.0009499331257188</v>
      </c>
      <c r="G459">
        <f t="shared" si="99"/>
        <v>0.99483660401498164</v>
      </c>
      <c r="H459">
        <f t="shared" si="99"/>
        <v>1.0532026997604933</v>
      </c>
      <c r="I459">
        <f t="shared" si="99"/>
        <v>1.0199609151771432</v>
      </c>
      <c r="J459">
        <f t="shared" si="99"/>
        <v>0.75361824142058798</v>
      </c>
      <c r="K459">
        <f t="shared" si="99"/>
        <v>0.58521052802684248</v>
      </c>
      <c r="L459">
        <f t="shared" si="99"/>
        <v>0.93037883687530987</v>
      </c>
      <c r="M459">
        <f t="shared" si="99"/>
        <v>1.0597265196249206</v>
      </c>
      <c r="N459">
        <f t="shared" si="99"/>
        <v>1.1558733581876002</v>
      </c>
      <c r="O459">
        <f t="shared" si="99"/>
        <v>1.0548254140493025</v>
      </c>
      <c r="P459">
        <f t="shared" si="99"/>
        <v>0.78888224971742837</v>
      </c>
      <c r="Q459">
        <f t="shared" si="99"/>
        <v>0.80964248745293932</v>
      </c>
      <c r="R459">
        <f t="shared" si="99"/>
        <v>0.85916365185812071</v>
      </c>
      <c r="S459">
        <f t="shared" si="99"/>
        <v>0.54126079791292692</v>
      </c>
      <c r="T459">
        <f t="shared" si="99"/>
        <v>0.69635069911651581</v>
      </c>
      <c r="U459">
        <f t="shared" si="99"/>
        <v>0.82200431075551195</v>
      </c>
      <c r="V459">
        <f t="shared" si="99"/>
        <v>0.56914542506568044</v>
      </c>
      <c r="W459">
        <f t="shared" si="99"/>
        <v>0.70187803562397211</v>
      </c>
      <c r="X459">
        <f t="shared" si="99"/>
        <v>0.97690857224938665</v>
      </c>
      <c r="Y459">
        <f t="shared" si="99"/>
        <v>0.63299306373313158</v>
      </c>
      <c r="Z459">
        <f t="shared" si="99"/>
        <v>0.92774659150194516</v>
      </c>
      <c r="AA459">
        <f t="shared" si="99"/>
        <v>0.57457728582829404</v>
      </c>
      <c r="AB459">
        <f t="shared" si="99"/>
        <v>1.1255294777047948</v>
      </c>
      <c r="AC459">
        <f t="shared" si="99"/>
        <v>0.85914649619360639</v>
      </c>
      <c r="AD459">
        <f t="shared" si="99"/>
        <v>1.0136049414507793</v>
      </c>
      <c r="AE459">
        <f t="shared" si="99"/>
        <v>0.89114749522255721</v>
      </c>
      <c r="AF459">
        <f t="shared" si="99"/>
        <v>0.69015049572970333</v>
      </c>
      <c r="AG459">
        <f t="shared" si="99"/>
        <v>0.77008041254444703</v>
      </c>
      <c r="AH459">
        <f t="shared" si="99"/>
        <v>0</v>
      </c>
      <c r="AI459">
        <f t="shared" si="99"/>
        <v>0.85958026278010291</v>
      </c>
      <c r="AJ459">
        <f t="shared" si="99"/>
        <v>0.47467794911518546</v>
      </c>
      <c r="AK459">
        <f t="shared" si="99"/>
        <v>0.79972192161950051</v>
      </c>
      <c r="AL459">
        <f t="shared" si="99"/>
        <v>0.75077300399058244</v>
      </c>
      <c r="AM459">
        <f t="shared" si="99"/>
        <v>0.67035523838854538</v>
      </c>
      <c r="AN459">
        <f t="shared" si="99"/>
        <v>0.64985561752066001</v>
      </c>
      <c r="AO459">
        <f t="shared" si="99"/>
        <v>0.78182446611899703</v>
      </c>
      <c r="AP459">
        <f t="shared" si="99"/>
        <v>0.99866358544523515</v>
      </c>
      <c r="AQ459">
        <f t="shared" si="99"/>
        <v>0.955919624829076</v>
      </c>
      <c r="AR459">
        <f t="shared" si="99"/>
        <v>0.85465124301702489</v>
      </c>
      <c r="AS459">
        <f t="shared" si="99"/>
        <v>0.7549249340767632</v>
      </c>
      <c r="AT459">
        <f t="shared" si="99"/>
        <v>0.65355933303758285</v>
      </c>
      <c r="AU459">
        <f t="shared" si="99"/>
        <v>0.98800901974650945</v>
      </c>
      <c r="AV459">
        <f t="shared" si="99"/>
        <v>1.0050504190864098</v>
      </c>
      <c r="AW459">
        <f t="shared" si="99"/>
        <v>0.6982213363498615</v>
      </c>
      <c r="AX459">
        <f t="shared" si="99"/>
        <v>0.99397083155748711</v>
      </c>
      <c r="AY459">
        <f t="shared" si="99"/>
        <v>1.0885873821821694</v>
      </c>
      <c r="AZ459">
        <f t="shared" si="99"/>
        <v>0.91100291320121696</v>
      </c>
      <c r="BA459">
        <f t="shared" si="99"/>
        <v>0.90230173913507472</v>
      </c>
      <c r="BB459">
        <f t="shared" si="99"/>
        <v>0.68045958488631997</v>
      </c>
      <c r="BC459">
        <f t="shared" si="99"/>
        <v>0.71283356881114968</v>
      </c>
      <c r="BD459">
        <f t="shared" si="99"/>
        <v>0.46840677188839996</v>
      </c>
    </row>
    <row r="460" spans="1:56" x14ac:dyDescent="0.2">
      <c r="A460">
        <v>34</v>
      </c>
      <c r="B460">
        <f t="shared" ref="B460:BD460" si="100">1-B404</f>
        <v>0.6316349917231876</v>
      </c>
      <c r="C460">
        <f t="shared" si="100"/>
        <v>0.68703227690254987</v>
      </c>
      <c r="D460">
        <f t="shared" si="100"/>
        <v>0.65772191932697721</v>
      </c>
      <c r="E460">
        <f t="shared" si="100"/>
        <v>0.91851699332526882</v>
      </c>
      <c r="F460">
        <f t="shared" si="100"/>
        <v>1.2016567293352678</v>
      </c>
      <c r="G460">
        <f t="shared" si="100"/>
        <v>0.9304915812199166</v>
      </c>
      <c r="H460">
        <f t="shared" si="100"/>
        <v>0.98645029702295728</v>
      </c>
      <c r="I460">
        <f t="shared" si="100"/>
        <v>0.88492266012937004</v>
      </c>
      <c r="J460">
        <f t="shared" si="100"/>
        <v>0.77833661701609591</v>
      </c>
      <c r="K460">
        <f t="shared" si="100"/>
        <v>0.6223915465066362</v>
      </c>
      <c r="L460">
        <f t="shared" si="100"/>
        <v>0.71306910772391707</v>
      </c>
      <c r="M460">
        <f t="shared" si="100"/>
        <v>0.94575774968302972</v>
      </c>
      <c r="N460">
        <f t="shared" si="100"/>
        <v>0.98396596480981791</v>
      </c>
      <c r="O460">
        <f t="shared" si="100"/>
        <v>1.0420231762037462</v>
      </c>
      <c r="P460">
        <f t="shared" si="100"/>
        <v>0.67707990920633032</v>
      </c>
      <c r="Q460">
        <f t="shared" si="100"/>
        <v>0.78087799235424971</v>
      </c>
      <c r="R460">
        <f t="shared" si="100"/>
        <v>0.71513421259141108</v>
      </c>
      <c r="S460">
        <f t="shared" si="100"/>
        <v>0.31298177081678025</v>
      </c>
      <c r="T460">
        <f t="shared" si="100"/>
        <v>0.76505007652246682</v>
      </c>
      <c r="U460">
        <f t="shared" si="100"/>
        <v>0.88850610550090359</v>
      </c>
      <c r="V460">
        <f t="shared" si="100"/>
        <v>0.59739149102589129</v>
      </c>
      <c r="W460">
        <f t="shared" si="100"/>
        <v>0.78271477454117722</v>
      </c>
      <c r="X460">
        <f t="shared" si="100"/>
        <v>0.74149055889672011</v>
      </c>
      <c r="Y460">
        <f t="shared" si="100"/>
        <v>0.67094343472180928</v>
      </c>
      <c r="Z460">
        <f t="shared" si="100"/>
        <v>0.75640936150781946</v>
      </c>
      <c r="AA460">
        <f t="shared" si="100"/>
        <v>0.59254541426251506</v>
      </c>
      <c r="AB460">
        <f t="shared" si="100"/>
        <v>1.0642396203268643</v>
      </c>
      <c r="AC460">
        <f t="shared" si="100"/>
        <v>0.57536633071928145</v>
      </c>
      <c r="AD460">
        <f t="shared" si="100"/>
        <v>0.94606538237270887</v>
      </c>
      <c r="AE460">
        <f t="shared" si="100"/>
        <v>0.85382234978022697</v>
      </c>
      <c r="AF460">
        <f t="shared" si="100"/>
        <v>0.68130849936666027</v>
      </c>
      <c r="AG460">
        <f t="shared" si="100"/>
        <v>0.98037146612398318</v>
      </c>
      <c r="AH460">
        <f t="shared" si="100"/>
        <v>0.85958026278010291</v>
      </c>
      <c r="AI460">
        <f t="shared" si="100"/>
        <v>0</v>
      </c>
      <c r="AJ460">
        <f t="shared" si="100"/>
        <v>0.64884280118042703</v>
      </c>
      <c r="AK460">
        <f t="shared" si="100"/>
        <v>0.75199779499779973</v>
      </c>
      <c r="AL460">
        <f t="shared" si="100"/>
        <v>0.81934792151624425</v>
      </c>
      <c r="AM460">
        <f t="shared" si="100"/>
        <v>0.69576298489460497</v>
      </c>
      <c r="AN460">
        <f t="shared" si="100"/>
        <v>0.69651313929603531</v>
      </c>
      <c r="AO460">
        <f t="shared" si="100"/>
        <v>0.96365477311720182</v>
      </c>
      <c r="AP460">
        <f t="shared" si="100"/>
        <v>0.82605406085638133</v>
      </c>
      <c r="AQ460">
        <f t="shared" si="100"/>
        <v>0.70576654629403712</v>
      </c>
      <c r="AR460">
        <f t="shared" si="100"/>
        <v>0.76604695714433979</v>
      </c>
      <c r="AS460">
        <f t="shared" si="100"/>
        <v>0.79186706279252872</v>
      </c>
      <c r="AT460">
        <f t="shared" si="100"/>
        <v>0.64885421526258069</v>
      </c>
      <c r="AU460">
        <f t="shared" si="100"/>
        <v>0.89886329947682919</v>
      </c>
      <c r="AV460">
        <f t="shared" si="100"/>
        <v>1.066792965900869</v>
      </c>
      <c r="AW460">
        <f t="shared" si="100"/>
        <v>0.62828873415486841</v>
      </c>
      <c r="AX460">
        <f t="shared" si="100"/>
        <v>0.88218597350556671</v>
      </c>
      <c r="AY460">
        <f t="shared" si="100"/>
        <v>1.167745291545315</v>
      </c>
      <c r="AZ460">
        <f t="shared" si="100"/>
        <v>1.011261900488025</v>
      </c>
      <c r="BA460">
        <f t="shared" si="100"/>
        <v>0.93008163882776007</v>
      </c>
      <c r="BB460">
        <f t="shared" si="100"/>
        <v>0.67567845813327487</v>
      </c>
      <c r="BC460">
        <f t="shared" si="100"/>
        <v>0.63573643849990491</v>
      </c>
      <c r="BD460">
        <f t="shared" si="100"/>
        <v>0.24088904276446466</v>
      </c>
    </row>
    <row r="461" spans="1:56" x14ac:dyDescent="0.2">
      <c r="A461">
        <v>35</v>
      </c>
      <c r="B461">
        <f t="shared" ref="B461:BD461" si="101">1-B405</f>
        <v>0.52415407187738328</v>
      </c>
      <c r="C461">
        <f t="shared" si="101"/>
        <v>0.63702105983538426</v>
      </c>
      <c r="D461">
        <f t="shared" si="101"/>
        <v>0.3561952815051711</v>
      </c>
      <c r="E461">
        <f t="shared" si="101"/>
        <v>0.47635942311421431</v>
      </c>
      <c r="F461">
        <f t="shared" si="101"/>
        <v>1.0911967078251816</v>
      </c>
      <c r="G461">
        <f t="shared" si="101"/>
        <v>0.96132345866599112</v>
      </c>
      <c r="H461">
        <f t="shared" si="101"/>
        <v>1.0339310452923005</v>
      </c>
      <c r="I461">
        <f t="shared" si="101"/>
        <v>0.92101878393615233</v>
      </c>
      <c r="J461">
        <f t="shared" si="101"/>
        <v>0.57811565558224065</v>
      </c>
      <c r="K461">
        <f t="shared" si="101"/>
        <v>0.53534776543474605</v>
      </c>
      <c r="L461">
        <f t="shared" si="101"/>
        <v>0.57991674278879257</v>
      </c>
      <c r="M461">
        <f t="shared" si="101"/>
        <v>0.96539378744815163</v>
      </c>
      <c r="N461">
        <f t="shared" si="101"/>
        <v>1.004736996746687</v>
      </c>
      <c r="O461">
        <f t="shared" si="101"/>
        <v>0.9925002047036845</v>
      </c>
      <c r="P461">
        <f t="shared" si="101"/>
        <v>0.51969994189197732</v>
      </c>
      <c r="Q461">
        <f t="shared" si="101"/>
        <v>0.71511664770803618</v>
      </c>
      <c r="R461">
        <f t="shared" si="101"/>
        <v>0.5138677948116962</v>
      </c>
      <c r="S461">
        <f t="shared" si="101"/>
        <v>0.56549145331501771</v>
      </c>
      <c r="T461">
        <f t="shared" si="101"/>
        <v>0.42566422249255498</v>
      </c>
      <c r="U461">
        <f t="shared" si="101"/>
        <v>0.55696817750243865</v>
      </c>
      <c r="V461">
        <f t="shared" si="101"/>
        <v>0.40468272353977786</v>
      </c>
      <c r="W461">
        <f t="shared" si="101"/>
        <v>0.51689639627512296</v>
      </c>
      <c r="X461">
        <f t="shared" si="101"/>
        <v>0.55784998167090682</v>
      </c>
      <c r="Y461">
        <f t="shared" si="101"/>
        <v>0.53774340064413306</v>
      </c>
      <c r="Z461">
        <f t="shared" si="101"/>
        <v>0.70765698459055759</v>
      </c>
      <c r="AA461">
        <f t="shared" si="101"/>
        <v>0.38886730298883854</v>
      </c>
      <c r="AB461">
        <f t="shared" si="101"/>
        <v>1.3432931906724122</v>
      </c>
      <c r="AC461">
        <f t="shared" si="101"/>
        <v>0.45690694059752091</v>
      </c>
      <c r="AD461">
        <f t="shared" si="101"/>
        <v>1.0954321756732761</v>
      </c>
      <c r="AE461">
        <f t="shared" si="101"/>
        <v>0.79863189739012153</v>
      </c>
      <c r="AF461">
        <f t="shared" si="101"/>
        <v>0.398765086435237</v>
      </c>
      <c r="AG461">
        <f t="shared" si="101"/>
        <v>0.81261065775311969</v>
      </c>
      <c r="AH461">
        <f t="shared" si="101"/>
        <v>0.47467794911518546</v>
      </c>
      <c r="AI461">
        <f t="shared" si="101"/>
        <v>0.64884280118042703</v>
      </c>
      <c r="AJ461">
        <f t="shared" si="101"/>
        <v>0</v>
      </c>
      <c r="AK461">
        <f t="shared" si="101"/>
        <v>0.39606895090754202</v>
      </c>
      <c r="AL461">
        <f t="shared" si="101"/>
        <v>0.61486928905740146</v>
      </c>
      <c r="AM461">
        <f t="shared" si="101"/>
        <v>0.45244275156764224</v>
      </c>
      <c r="AN461">
        <f t="shared" si="101"/>
        <v>0.44921588208050722</v>
      </c>
      <c r="AO461">
        <f t="shared" si="101"/>
        <v>0.94962830330578207</v>
      </c>
      <c r="AP461">
        <f t="shared" si="101"/>
        <v>0.91903968009102455</v>
      </c>
      <c r="AQ461">
        <f t="shared" si="101"/>
        <v>0.49737806603679557</v>
      </c>
      <c r="AR461">
        <f t="shared" si="101"/>
        <v>0.5217765609832905</v>
      </c>
      <c r="AS461">
        <f t="shared" si="101"/>
        <v>0.52615348725152744</v>
      </c>
      <c r="AT461">
        <f t="shared" si="101"/>
        <v>0.46782578043978384</v>
      </c>
      <c r="AU461">
        <f t="shared" si="101"/>
        <v>0.83567882806187099</v>
      </c>
      <c r="AV461">
        <f t="shared" si="101"/>
        <v>1.0331264327672993</v>
      </c>
      <c r="AW461">
        <f t="shared" si="101"/>
        <v>0.62412641769178956</v>
      </c>
      <c r="AX461">
        <f t="shared" si="101"/>
        <v>0.91252562309332585</v>
      </c>
      <c r="AY461">
        <f t="shared" si="101"/>
        <v>1.1195412766203907</v>
      </c>
      <c r="AZ461">
        <f t="shared" si="101"/>
        <v>1.1100365545015467</v>
      </c>
      <c r="BA461">
        <f t="shared" si="101"/>
        <v>1.0203871257532069</v>
      </c>
      <c r="BB461">
        <f t="shared" si="101"/>
        <v>0.47686106020452979</v>
      </c>
      <c r="BC461">
        <f t="shared" si="101"/>
        <v>0.42081722133709265</v>
      </c>
      <c r="BD461">
        <f t="shared" si="101"/>
        <v>0.38465519656007918</v>
      </c>
    </row>
    <row r="462" spans="1:56" x14ac:dyDescent="0.2">
      <c r="A462">
        <v>36</v>
      </c>
      <c r="B462">
        <f t="shared" ref="B462:BD462" si="102">1-B406</f>
        <v>0.70981666180775083</v>
      </c>
      <c r="C462">
        <f t="shared" si="102"/>
        <v>0.81023114045428946</v>
      </c>
      <c r="D462">
        <f t="shared" si="102"/>
        <v>0.66064096169109976</v>
      </c>
      <c r="E462">
        <f t="shared" si="102"/>
        <v>0.82427474629145214</v>
      </c>
      <c r="F462">
        <f t="shared" si="102"/>
        <v>1.0898488938199085</v>
      </c>
      <c r="G462">
        <f t="shared" si="102"/>
        <v>0.7724808121341149</v>
      </c>
      <c r="H462">
        <f t="shared" si="102"/>
        <v>1.009809859207536</v>
      </c>
      <c r="I462">
        <f t="shared" si="102"/>
        <v>0.80197988777054885</v>
      </c>
      <c r="J462">
        <f t="shared" si="102"/>
        <v>0.89212747006676896</v>
      </c>
      <c r="K462">
        <f t="shared" si="102"/>
        <v>0.55612607325035412</v>
      </c>
      <c r="L462">
        <f t="shared" si="102"/>
        <v>0.80965651816001216</v>
      </c>
      <c r="M462">
        <f t="shared" si="102"/>
        <v>0.7945159850806327</v>
      </c>
      <c r="N462">
        <f t="shared" si="102"/>
        <v>0.72115215805619859</v>
      </c>
      <c r="O462">
        <f t="shared" si="102"/>
        <v>0.81848579854497605</v>
      </c>
      <c r="P462">
        <f t="shared" si="102"/>
        <v>0.9648648181275401</v>
      </c>
      <c r="Q462">
        <f t="shared" si="102"/>
        <v>0.94772285624879771</v>
      </c>
      <c r="R462">
        <f t="shared" si="102"/>
        <v>1.0261105103879917</v>
      </c>
      <c r="S462">
        <f t="shared" si="102"/>
        <v>0.42413020952138114</v>
      </c>
      <c r="T462">
        <f t="shared" si="102"/>
        <v>0.7606947192019532</v>
      </c>
      <c r="U462">
        <f t="shared" si="102"/>
        <v>0.61963015832357815</v>
      </c>
      <c r="V462">
        <f t="shared" si="102"/>
        <v>0.4568966950293325</v>
      </c>
      <c r="W462">
        <f t="shared" si="102"/>
        <v>0.65321493713402901</v>
      </c>
      <c r="X462">
        <f t="shared" si="102"/>
        <v>0.99027464651268382</v>
      </c>
      <c r="Y462">
        <f t="shared" si="102"/>
        <v>0.79731914518495306</v>
      </c>
      <c r="Z462">
        <f t="shared" si="102"/>
        <v>0.78875787788765173</v>
      </c>
      <c r="AA462">
        <f t="shared" si="102"/>
        <v>0.46431823262944005</v>
      </c>
      <c r="AB462">
        <f t="shared" si="102"/>
        <v>1.1095890529881174</v>
      </c>
      <c r="AC462">
        <f t="shared" si="102"/>
        <v>0.83269542345616832</v>
      </c>
      <c r="AD462">
        <f t="shared" si="102"/>
        <v>0.85721272459822984</v>
      </c>
      <c r="AE462">
        <f t="shared" si="102"/>
        <v>0.8727807612071119</v>
      </c>
      <c r="AF462">
        <f t="shared" si="102"/>
        <v>0.82579045514742466</v>
      </c>
      <c r="AG462">
        <f t="shared" si="102"/>
        <v>0.93979837243849695</v>
      </c>
      <c r="AH462">
        <f t="shared" si="102"/>
        <v>0.79972192161950051</v>
      </c>
      <c r="AI462">
        <f t="shared" si="102"/>
        <v>0.75199779499779973</v>
      </c>
      <c r="AJ462">
        <f t="shared" si="102"/>
        <v>0.39606895090754202</v>
      </c>
      <c r="AK462">
        <f t="shared" si="102"/>
        <v>0</v>
      </c>
      <c r="AL462">
        <f t="shared" si="102"/>
        <v>0.9456276405949795</v>
      </c>
      <c r="AM462">
        <f t="shared" si="102"/>
        <v>0.52870389509592397</v>
      </c>
      <c r="AN462">
        <f t="shared" si="102"/>
        <v>0.5409071866845474</v>
      </c>
      <c r="AO462">
        <f t="shared" si="102"/>
        <v>0.97961234553529852</v>
      </c>
      <c r="AP462">
        <f t="shared" si="102"/>
        <v>1.1130886330471184</v>
      </c>
      <c r="AQ462">
        <f t="shared" si="102"/>
        <v>0.88608484243160701</v>
      </c>
      <c r="AR462">
        <f t="shared" si="102"/>
        <v>0.81741139848068767</v>
      </c>
      <c r="AS462">
        <f t="shared" si="102"/>
        <v>0.81274228767362766</v>
      </c>
      <c r="AT462">
        <f t="shared" si="102"/>
        <v>0.675178554647762</v>
      </c>
      <c r="AU462">
        <f t="shared" si="102"/>
        <v>0.91689140095730859</v>
      </c>
      <c r="AV462">
        <f t="shared" si="102"/>
        <v>0.94949605700677708</v>
      </c>
      <c r="AW462">
        <f t="shared" si="102"/>
        <v>0.64086887690217553</v>
      </c>
      <c r="AX462">
        <f t="shared" si="102"/>
        <v>0.75173227408640098</v>
      </c>
      <c r="AY462">
        <f t="shared" si="102"/>
        <v>1.0708506638250759</v>
      </c>
      <c r="AZ462">
        <f t="shared" si="102"/>
        <v>0.97369849091113481</v>
      </c>
      <c r="BA462">
        <f t="shared" si="102"/>
        <v>0.99444326933671623</v>
      </c>
      <c r="BB462">
        <f t="shared" si="102"/>
        <v>0.74280249789175534</v>
      </c>
      <c r="BC462">
        <f t="shared" si="102"/>
        <v>0.66289405325181838</v>
      </c>
      <c r="BD462">
        <f t="shared" si="102"/>
        <v>0.23090244934319804</v>
      </c>
    </row>
    <row r="463" spans="1:56" x14ac:dyDescent="0.2">
      <c r="A463">
        <v>37</v>
      </c>
      <c r="B463">
        <f t="shared" ref="B463:BD463" si="103">1-B407</f>
        <v>0.80127740928029945</v>
      </c>
      <c r="C463">
        <f t="shared" si="103"/>
        <v>0.76603257973463568</v>
      </c>
      <c r="D463">
        <f t="shared" si="103"/>
        <v>0.83631798346410324</v>
      </c>
      <c r="E463">
        <f t="shared" si="103"/>
        <v>0.99942193336357155</v>
      </c>
      <c r="F463">
        <f t="shared" si="103"/>
        <v>0.95700173073642703</v>
      </c>
      <c r="G463">
        <f t="shared" si="103"/>
        <v>1.0064995122995237</v>
      </c>
      <c r="H463">
        <f t="shared" si="103"/>
        <v>1.0605413338363596</v>
      </c>
      <c r="I463">
        <f t="shared" si="103"/>
        <v>1.0297165048054122</v>
      </c>
      <c r="J463">
        <f t="shared" si="103"/>
        <v>0.6933163265527541</v>
      </c>
      <c r="K463">
        <f t="shared" si="103"/>
        <v>0.57339099011662586</v>
      </c>
      <c r="L463">
        <f t="shared" si="103"/>
        <v>0.77885187433941128</v>
      </c>
      <c r="M463">
        <f t="shared" si="103"/>
        <v>1.016334251853148</v>
      </c>
      <c r="N463">
        <f t="shared" si="103"/>
        <v>1.0755802910262273</v>
      </c>
      <c r="O463">
        <f t="shared" si="103"/>
        <v>0.97855419981799585</v>
      </c>
      <c r="P463">
        <f t="shared" si="103"/>
        <v>0.72900187096412905</v>
      </c>
      <c r="Q463">
        <f t="shared" si="103"/>
        <v>0.86608656859895916</v>
      </c>
      <c r="R463">
        <f t="shared" si="103"/>
        <v>0.73934959938530076</v>
      </c>
      <c r="S463">
        <f t="shared" si="103"/>
        <v>0.60319250788983059</v>
      </c>
      <c r="T463">
        <f t="shared" si="103"/>
        <v>0.89218244939139224</v>
      </c>
      <c r="U463">
        <f t="shared" si="103"/>
        <v>0.99172208283199703</v>
      </c>
      <c r="V463">
        <f t="shared" si="103"/>
        <v>0.81059976775171294</v>
      </c>
      <c r="W463">
        <f t="shared" si="103"/>
        <v>0.83796340876103059</v>
      </c>
      <c r="X463">
        <f t="shared" si="103"/>
        <v>0.92754064092056288</v>
      </c>
      <c r="Y463">
        <f t="shared" si="103"/>
        <v>0.8195892921052661</v>
      </c>
      <c r="Z463">
        <f t="shared" si="103"/>
        <v>0.76687939638626179</v>
      </c>
      <c r="AA463">
        <f t="shared" si="103"/>
        <v>0.81308209848734503</v>
      </c>
      <c r="AB463">
        <f t="shared" si="103"/>
        <v>1.3023134147654618</v>
      </c>
      <c r="AC463">
        <f t="shared" si="103"/>
        <v>0.7926120848239685</v>
      </c>
      <c r="AD463">
        <f t="shared" si="103"/>
        <v>0.95479530866009688</v>
      </c>
      <c r="AE463">
        <f t="shared" si="103"/>
        <v>0.89531155952272412</v>
      </c>
      <c r="AF463">
        <f t="shared" si="103"/>
        <v>0.85628448265121182</v>
      </c>
      <c r="AG463">
        <f t="shared" si="103"/>
        <v>0.76636043786840435</v>
      </c>
      <c r="AH463">
        <f t="shared" si="103"/>
        <v>0.75077300399058244</v>
      </c>
      <c r="AI463">
        <f t="shared" si="103"/>
        <v>0.81934792151624425</v>
      </c>
      <c r="AJ463">
        <f t="shared" si="103"/>
        <v>0.61486928905740146</v>
      </c>
      <c r="AK463">
        <f t="shared" si="103"/>
        <v>0.9456276405949795</v>
      </c>
      <c r="AL463">
        <f t="shared" si="103"/>
        <v>0</v>
      </c>
      <c r="AM463">
        <f t="shared" si="103"/>
        <v>0.88654975555225835</v>
      </c>
      <c r="AN463">
        <f t="shared" si="103"/>
        <v>0.89244380428983394</v>
      </c>
      <c r="AO463">
        <f t="shared" si="103"/>
        <v>0.89869304401023742</v>
      </c>
      <c r="AP463">
        <f t="shared" si="103"/>
        <v>0.8715009358733109</v>
      </c>
      <c r="AQ463">
        <f t="shared" si="103"/>
        <v>0.92542925757374983</v>
      </c>
      <c r="AR463">
        <f t="shared" si="103"/>
        <v>0.8081324677715831</v>
      </c>
      <c r="AS463">
        <f t="shared" si="103"/>
        <v>0.67977522244565869</v>
      </c>
      <c r="AT463">
        <f t="shared" si="103"/>
        <v>0.82512170035166832</v>
      </c>
      <c r="AU463">
        <f t="shared" si="103"/>
        <v>0.99528870520612256</v>
      </c>
      <c r="AV463">
        <f t="shared" si="103"/>
        <v>0.94928862097638778</v>
      </c>
      <c r="AW463">
        <f t="shared" si="103"/>
        <v>0.78152789940700185</v>
      </c>
      <c r="AX463">
        <f t="shared" si="103"/>
        <v>1.0131004426629893</v>
      </c>
      <c r="AY463">
        <f t="shared" si="103"/>
        <v>1.0949847467165748</v>
      </c>
      <c r="AZ463">
        <f t="shared" si="103"/>
        <v>0.97556115720908776</v>
      </c>
      <c r="BA463">
        <f t="shared" si="103"/>
        <v>0.98994040771869618</v>
      </c>
      <c r="BB463">
        <f t="shared" si="103"/>
        <v>0.72252098557309963</v>
      </c>
      <c r="BC463">
        <f t="shared" si="103"/>
        <v>0.82501588437768225</v>
      </c>
      <c r="BD463">
        <f t="shared" si="103"/>
        <v>0.3917061282086377</v>
      </c>
    </row>
    <row r="464" spans="1:56" x14ac:dyDescent="0.2">
      <c r="A464">
        <v>38</v>
      </c>
      <c r="B464">
        <f t="shared" ref="B464:BD464" si="104">1-B408</f>
        <v>0.6003259857088219</v>
      </c>
      <c r="C464">
        <f t="shared" si="104"/>
        <v>0.80657313307515088</v>
      </c>
      <c r="D464">
        <f t="shared" si="104"/>
        <v>0.74757295999785001</v>
      </c>
      <c r="E464">
        <f t="shared" si="104"/>
        <v>0.75143745778250837</v>
      </c>
      <c r="F464">
        <f t="shared" si="104"/>
        <v>1.1622618584008308</v>
      </c>
      <c r="G464">
        <f t="shared" si="104"/>
        <v>1.0317892232693555</v>
      </c>
      <c r="H464">
        <f t="shared" si="104"/>
        <v>0.98860403567214661</v>
      </c>
      <c r="I464">
        <f t="shared" si="104"/>
        <v>1.055353184818665</v>
      </c>
      <c r="J464">
        <f t="shared" si="104"/>
        <v>0.80628569669474359</v>
      </c>
      <c r="K464">
        <f t="shared" si="104"/>
        <v>0.47897356098681354</v>
      </c>
      <c r="L464">
        <f t="shared" si="104"/>
        <v>0.90053849030854727</v>
      </c>
      <c r="M464">
        <f t="shared" si="104"/>
        <v>0.92387120421672453</v>
      </c>
      <c r="N464">
        <f t="shared" si="104"/>
        <v>0.90389240038958518</v>
      </c>
      <c r="O464">
        <f t="shared" si="104"/>
        <v>1.0323390404133326</v>
      </c>
      <c r="P464">
        <f t="shared" si="104"/>
        <v>0.80990193813733269</v>
      </c>
      <c r="Q464">
        <f t="shared" si="104"/>
        <v>0.94309805876957731</v>
      </c>
      <c r="R464">
        <f t="shared" si="104"/>
        <v>0.9881917310098457</v>
      </c>
      <c r="S464">
        <f t="shared" si="104"/>
        <v>0.29861313391816902</v>
      </c>
      <c r="T464">
        <f t="shared" si="104"/>
        <v>0.74790750244403947</v>
      </c>
      <c r="U464">
        <f t="shared" si="104"/>
        <v>0.71979846784084289</v>
      </c>
      <c r="V464">
        <f t="shared" si="104"/>
        <v>0.49570728584622026</v>
      </c>
      <c r="W464">
        <f t="shared" si="104"/>
        <v>0.61111615755500392</v>
      </c>
      <c r="X464">
        <f t="shared" si="104"/>
        <v>0.99294023606020176</v>
      </c>
      <c r="Y464">
        <f t="shared" si="104"/>
        <v>0.65912251829987145</v>
      </c>
      <c r="Z464">
        <f t="shared" si="104"/>
        <v>0.82905685614789559</v>
      </c>
      <c r="AA464">
        <f t="shared" si="104"/>
        <v>0.51293243397926247</v>
      </c>
      <c r="AB464">
        <f t="shared" si="104"/>
        <v>1.096770616754583</v>
      </c>
      <c r="AC464">
        <f t="shared" si="104"/>
        <v>0.79288410732687742</v>
      </c>
      <c r="AD464">
        <f t="shared" si="104"/>
        <v>1.0008372874387093</v>
      </c>
      <c r="AE464">
        <f t="shared" si="104"/>
        <v>0.88695338474779062</v>
      </c>
      <c r="AF464">
        <f t="shared" si="104"/>
        <v>0.6664655596497866</v>
      </c>
      <c r="AG464">
        <f t="shared" si="104"/>
        <v>0.95450464200479679</v>
      </c>
      <c r="AH464">
        <f t="shared" si="104"/>
        <v>0.67035523838854538</v>
      </c>
      <c r="AI464">
        <f t="shared" si="104"/>
        <v>0.69576298489460497</v>
      </c>
      <c r="AJ464">
        <f t="shared" si="104"/>
        <v>0.45244275156764224</v>
      </c>
      <c r="AK464">
        <f t="shared" si="104"/>
        <v>0.52870389509592397</v>
      </c>
      <c r="AL464">
        <f t="shared" si="104"/>
        <v>0.88654975555225835</v>
      </c>
      <c r="AM464">
        <f t="shared" si="104"/>
        <v>0</v>
      </c>
      <c r="AN464">
        <f t="shared" si="104"/>
        <v>1.164443138416571E-2</v>
      </c>
      <c r="AO464">
        <f t="shared" si="104"/>
        <v>0.97018896051648351</v>
      </c>
      <c r="AP464">
        <f t="shared" si="104"/>
        <v>1.0884542029679103</v>
      </c>
      <c r="AQ464">
        <f t="shared" si="104"/>
        <v>0.91338667307074006</v>
      </c>
      <c r="AR464">
        <f t="shared" si="104"/>
        <v>0.89571787608772391</v>
      </c>
      <c r="AS464">
        <f t="shared" si="104"/>
        <v>0.70423870453327209</v>
      </c>
      <c r="AT464">
        <f t="shared" si="104"/>
        <v>0.73326369407676861</v>
      </c>
      <c r="AU464">
        <f t="shared" si="104"/>
        <v>0.94184070287620014</v>
      </c>
      <c r="AV464">
        <f t="shared" si="104"/>
        <v>0.96450791100922872</v>
      </c>
      <c r="AW464">
        <f t="shared" si="104"/>
        <v>0.70685329462856883</v>
      </c>
      <c r="AX464">
        <f t="shared" si="104"/>
        <v>1.0413315276718158</v>
      </c>
      <c r="AY464">
        <f t="shared" si="104"/>
        <v>1.132150663071616</v>
      </c>
      <c r="AZ464">
        <f t="shared" si="104"/>
        <v>1.0049339562515325</v>
      </c>
      <c r="BA464">
        <f t="shared" si="104"/>
        <v>0.82390971868602603</v>
      </c>
      <c r="BB464">
        <f t="shared" si="104"/>
        <v>0.79422203118564705</v>
      </c>
      <c r="BC464">
        <f t="shared" si="104"/>
        <v>0.51487354984409262</v>
      </c>
      <c r="BD464">
        <f t="shared" si="104"/>
        <v>0.18712567417097059</v>
      </c>
    </row>
    <row r="465" spans="1:56" x14ac:dyDescent="0.2">
      <c r="A465">
        <v>39</v>
      </c>
      <c r="B465">
        <f t="shared" ref="B465:BD465" si="105">1-B409</f>
        <v>0.59315944580252178</v>
      </c>
      <c r="C465">
        <f t="shared" si="105"/>
        <v>0.80508736908941847</v>
      </c>
      <c r="D465">
        <f t="shared" si="105"/>
        <v>0.74900753982499357</v>
      </c>
      <c r="E465">
        <f t="shared" si="105"/>
        <v>0.74180376551369165</v>
      </c>
      <c r="F465">
        <f t="shared" si="105"/>
        <v>1.1748542651940481</v>
      </c>
      <c r="G465">
        <f t="shared" si="105"/>
        <v>1.0430610274338477</v>
      </c>
      <c r="H465">
        <f t="shared" si="105"/>
        <v>0.988756913651333</v>
      </c>
      <c r="I465">
        <f t="shared" si="105"/>
        <v>1.0604022685883727</v>
      </c>
      <c r="J465">
        <f t="shared" si="105"/>
        <v>0.81198958722456194</v>
      </c>
      <c r="K465">
        <f t="shared" si="105"/>
        <v>0.47616404016456448</v>
      </c>
      <c r="L465">
        <f t="shared" si="105"/>
        <v>0.91067047913143095</v>
      </c>
      <c r="M465">
        <f t="shared" si="105"/>
        <v>0.94831494911124481</v>
      </c>
      <c r="N465">
        <f t="shared" si="105"/>
        <v>0.92393233023254462</v>
      </c>
      <c r="O465">
        <f t="shared" si="105"/>
        <v>1.0410401922298569</v>
      </c>
      <c r="P465">
        <f t="shared" si="105"/>
        <v>0.80686914986987079</v>
      </c>
      <c r="Q465">
        <f t="shared" si="105"/>
        <v>0.9374156950593695</v>
      </c>
      <c r="R465">
        <f t="shared" si="105"/>
        <v>0.97532298281870133</v>
      </c>
      <c r="S465">
        <f t="shared" si="105"/>
        <v>0.29736384833129026</v>
      </c>
      <c r="T465">
        <f t="shared" si="105"/>
        <v>0.74412730604307131</v>
      </c>
      <c r="U465">
        <f t="shared" si="105"/>
        <v>0.7225346230507852</v>
      </c>
      <c r="V465">
        <f t="shared" si="105"/>
        <v>0.47707973108123758</v>
      </c>
      <c r="W465">
        <f t="shared" si="105"/>
        <v>0.61087346720099811</v>
      </c>
      <c r="X465">
        <f t="shared" si="105"/>
        <v>0.99825332152022017</v>
      </c>
      <c r="Y465">
        <f t="shared" si="105"/>
        <v>0.66878185062602413</v>
      </c>
      <c r="Z465">
        <f t="shared" si="105"/>
        <v>0.83692307443748482</v>
      </c>
      <c r="AA465">
        <f t="shared" si="105"/>
        <v>0.49282933762885694</v>
      </c>
      <c r="AB465">
        <f t="shared" si="105"/>
        <v>1.1002304207760338</v>
      </c>
      <c r="AC465">
        <f t="shared" si="105"/>
        <v>0.80207150323516641</v>
      </c>
      <c r="AD465">
        <f t="shared" si="105"/>
        <v>0.99697416862162158</v>
      </c>
      <c r="AE465">
        <f t="shared" si="105"/>
        <v>0.88932118578837982</v>
      </c>
      <c r="AF465">
        <f t="shared" si="105"/>
        <v>0.6578210464087807</v>
      </c>
      <c r="AG465">
        <f t="shared" si="105"/>
        <v>0.93787733330302936</v>
      </c>
      <c r="AH465">
        <f t="shared" si="105"/>
        <v>0.64985561752066001</v>
      </c>
      <c r="AI465">
        <f t="shared" si="105"/>
        <v>0.69651313929603531</v>
      </c>
      <c r="AJ465">
        <f t="shared" si="105"/>
        <v>0.44921588208050722</v>
      </c>
      <c r="AK465">
        <f t="shared" si="105"/>
        <v>0.5409071866845474</v>
      </c>
      <c r="AL465">
        <f t="shared" si="105"/>
        <v>0.89244380428983394</v>
      </c>
      <c r="AM465">
        <f t="shared" si="105"/>
        <v>1.164443138416571E-2</v>
      </c>
      <c r="AN465">
        <f t="shared" si="105"/>
        <v>0</v>
      </c>
      <c r="AO465">
        <f t="shared" si="105"/>
        <v>0.95617653940669944</v>
      </c>
      <c r="AP465">
        <f t="shared" si="105"/>
        <v>1.1010183881243287</v>
      </c>
      <c r="AQ465">
        <f t="shared" si="105"/>
        <v>0.91336621278350871</v>
      </c>
      <c r="AR465">
        <f t="shared" si="105"/>
        <v>0.88695670826485284</v>
      </c>
      <c r="AS465">
        <f t="shared" si="105"/>
        <v>0.68775405589279437</v>
      </c>
      <c r="AT465">
        <f t="shared" si="105"/>
        <v>0.73650954683139847</v>
      </c>
      <c r="AU465">
        <f t="shared" si="105"/>
        <v>0.94714084762208239</v>
      </c>
      <c r="AV465">
        <f t="shared" si="105"/>
        <v>0.97583121719543009</v>
      </c>
      <c r="AW465">
        <f t="shared" si="105"/>
        <v>0.71519657228768474</v>
      </c>
      <c r="AX465">
        <f t="shared" si="105"/>
        <v>1.0469497925969278</v>
      </c>
      <c r="AY465">
        <f t="shared" si="105"/>
        <v>1.1376489203034699</v>
      </c>
      <c r="AZ465">
        <f t="shared" si="105"/>
        <v>0.99697932713045889</v>
      </c>
      <c r="BA465">
        <f t="shared" si="105"/>
        <v>0.82389228938658277</v>
      </c>
      <c r="BB465">
        <f t="shared" si="105"/>
        <v>0.79448949744477559</v>
      </c>
      <c r="BC465">
        <f t="shared" si="105"/>
        <v>0.5155605066898088</v>
      </c>
      <c r="BD465">
        <f t="shared" si="105"/>
        <v>0.18418497646008247</v>
      </c>
    </row>
    <row r="466" spans="1:56" x14ac:dyDescent="0.2">
      <c r="A466">
        <v>40</v>
      </c>
      <c r="B466">
        <f t="shared" ref="B466:BD466" si="106">1-B410</f>
        <v>0.94753949969341023</v>
      </c>
      <c r="C466">
        <f t="shared" si="106"/>
        <v>1.021014116776469</v>
      </c>
      <c r="D466">
        <f t="shared" si="106"/>
        <v>0.85932209937320037</v>
      </c>
      <c r="E466">
        <f t="shared" si="106"/>
        <v>1.1151469507308118</v>
      </c>
      <c r="F466">
        <f t="shared" si="106"/>
        <v>1.0651826963913114</v>
      </c>
      <c r="G466">
        <f t="shared" si="106"/>
        <v>1.0558158214722537</v>
      </c>
      <c r="H466">
        <f t="shared" si="106"/>
        <v>1.2843273640028787</v>
      </c>
      <c r="I466">
        <f t="shared" si="106"/>
        <v>0.94812377366006939</v>
      </c>
      <c r="J466">
        <f t="shared" si="106"/>
        <v>0.85482038065792132</v>
      </c>
      <c r="K466">
        <f t="shared" si="106"/>
        <v>1.3015088594705517</v>
      </c>
      <c r="L466">
        <f t="shared" si="106"/>
        <v>0.90994563946786622</v>
      </c>
      <c r="M466">
        <f t="shared" si="106"/>
        <v>1.1673839175360849</v>
      </c>
      <c r="N466">
        <f t="shared" si="106"/>
        <v>1.1015160884801924</v>
      </c>
      <c r="O466">
        <f t="shared" si="106"/>
        <v>0.99395886632341801</v>
      </c>
      <c r="P466">
        <f t="shared" si="106"/>
        <v>0.89682634789872417</v>
      </c>
      <c r="Q466">
        <f t="shared" si="106"/>
        <v>1.01419488832643</v>
      </c>
      <c r="R466">
        <f t="shared" si="106"/>
        <v>1.0173777854628563</v>
      </c>
      <c r="S466">
        <f t="shared" si="106"/>
        <v>1.0070106729752117</v>
      </c>
      <c r="T466">
        <f t="shared" si="106"/>
        <v>0.90807106411531235</v>
      </c>
      <c r="U466">
        <f t="shared" si="106"/>
        <v>1.008242996403423</v>
      </c>
      <c r="V466">
        <f t="shared" si="106"/>
        <v>0.96837681998653513</v>
      </c>
      <c r="W466">
        <f t="shared" si="106"/>
        <v>0.86046043387745019</v>
      </c>
      <c r="X466">
        <f t="shared" si="106"/>
        <v>1.1200355245244744</v>
      </c>
      <c r="Y466">
        <f t="shared" si="106"/>
        <v>1.0091114595994102</v>
      </c>
      <c r="Z466">
        <f t="shared" si="106"/>
        <v>1.062812025314041</v>
      </c>
      <c r="AA466">
        <f t="shared" si="106"/>
        <v>0.98072106941443571</v>
      </c>
      <c r="AB466">
        <f t="shared" si="106"/>
        <v>0.94380840409489886</v>
      </c>
      <c r="AC466">
        <f t="shared" si="106"/>
        <v>0.94714104924832732</v>
      </c>
      <c r="AD466">
        <f t="shared" si="106"/>
        <v>0.89808325900302899</v>
      </c>
      <c r="AE466">
        <f t="shared" si="106"/>
        <v>1.0034586785163493</v>
      </c>
      <c r="AF466">
        <f t="shared" si="106"/>
        <v>0.97706067560652143</v>
      </c>
      <c r="AG466">
        <f t="shared" si="106"/>
        <v>1.039815590801062</v>
      </c>
      <c r="AH466">
        <f t="shared" si="106"/>
        <v>0.78182446611899703</v>
      </c>
      <c r="AI466">
        <f t="shared" si="106"/>
        <v>0.96365477311720182</v>
      </c>
      <c r="AJ466">
        <f t="shared" si="106"/>
        <v>0.94962830330578207</v>
      </c>
      <c r="AK466">
        <f t="shared" si="106"/>
        <v>0.97961234553529852</v>
      </c>
      <c r="AL466">
        <f t="shared" si="106"/>
        <v>0.89869304401023742</v>
      </c>
      <c r="AM466">
        <f t="shared" si="106"/>
        <v>0.97018896051648351</v>
      </c>
      <c r="AN466">
        <f t="shared" si="106"/>
        <v>0.95617653940669944</v>
      </c>
      <c r="AO466">
        <f t="shared" si="106"/>
        <v>0</v>
      </c>
      <c r="AP466">
        <f t="shared" si="106"/>
        <v>0.86140523088864984</v>
      </c>
      <c r="AQ466">
        <f t="shared" si="106"/>
        <v>0.95100195360088402</v>
      </c>
      <c r="AR466">
        <f t="shared" si="106"/>
        <v>0.84791626304472978</v>
      </c>
      <c r="AS466">
        <f t="shared" si="106"/>
        <v>0.75439624201442834</v>
      </c>
      <c r="AT466">
        <f t="shared" si="106"/>
        <v>0.86771713724514266</v>
      </c>
      <c r="AU466">
        <f t="shared" si="106"/>
        <v>1.3779749084658361</v>
      </c>
      <c r="AV466">
        <f t="shared" si="106"/>
        <v>0.968166074476288</v>
      </c>
      <c r="AW466">
        <f t="shared" si="106"/>
        <v>1.048782041128699</v>
      </c>
      <c r="AX466">
        <f t="shared" si="106"/>
        <v>0.96671429643532192</v>
      </c>
      <c r="AY466">
        <f t="shared" si="106"/>
        <v>1.045861073653753</v>
      </c>
      <c r="AZ466">
        <f t="shared" si="106"/>
        <v>1.2669643323964466</v>
      </c>
      <c r="BA466">
        <f t="shared" si="106"/>
        <v>0.96616629478718263</v>
      </c>
      <c r="BB466">
        <f t="shared" si="106"/>
        <v>0.95175402952303156</v>
      </c>
      <c r="BC466">
        <f t="shared" si="106"/>
        <v>0.91788277462543344</v>
      </c>
      <c r="BD466">
        <f t="shared" si="106"/>
        <v>1.0069431158448812</v>
      </c>
    </row>
    <row r="467" spans="1:56" x14ac:dyDescent="0.2">
      <c r="A467">
        <v>41</v>
      </c>
      <c r="B467">
        <f t="shared" ref="B467:BD467" si="107">1-B411</f>
        <v>0.898307173990605</v>
      </c>
      <c r="C467">
        <f t="shared" si="107"/>
        <v>0.77827347978192207</v>
      </c>
      <c r="D467">
        <f t="shared" si="107"/>
        <v>0.84601860397697359</v>
      </c>
      <c r="E467">
        <f t="shared" si="107"/>
        <v>1.1077960834908489</v>
      </c>
      <c r="F467">
        <f t="shared" si="107"/>
        <v>0.82271192698091467</v>
      </c>
      <c r="G467">
        <f t="shared" si="107"/>
        <v>0.86979679968895385</v>
      </c>
      <c r="H467">
        <f t="shared" si="107"/>
        <v>0.94841686915814549</v>
      </c>
      <c r="I467">
        <f t="shared" si="107"/>
        <v>0.97076748342501773</v>
      </c>
      <c r="J467">
        <f t="shared" si="107"/>
        <v>0.74730283124137131</v>
      </c>
      <c r="K467">
        <f t="shared" si="107"/>
        <v>0.90611722734545408</v>
      </c>
      <c r="L467">
        <f t="shared" si="107"/>
        <v>0.83814504805578682</v>
      </c>
      <c r="M467">
        <f t="shared" si="107"/>
        <v>0.97594939286286253</v>
      </c>
      <c r="N467">
        <f t="shared" si="107"/>
        <v>1.0491942581092997</v>
      </c>
      <c r="O467">
        <f t="shared" si="107"/>
        <v>0.94628254584305049</v>
      </c>
      <c r="P467">
        <f t="shared" si="107"/>
        <v>0.6841822817197234</v>
      </c>
      <c r="Q467">
        <f t="shared" si="107"/>
        <v>0.74811566065224566</v>
      </c>
      <c r="R467">
        <f t="shared" si="107"/>
        <v>0.55711857951448596</v>
      </c>
      <c r="S467">
        <f t="shared" si="107"/>
        <v>0.89111046552917128</v>
      </c>
      <c r="T467">
        <f t="shared" si="107"/>
        <v>0.90992952619258494</v>
      </c>
      <c r="U467">
        <f t="shared" si="107"/>
        <v>1.0798401943543969</v>
      </c>
      <c r="V467">
        <f t="shared" si="107"/>
        <v>0.94932146435143927</v>
      </c>
      <c r="W467">
        <f t="shared" si="107"/>
        <v>1.0287520771156842</v>
      </c>
      <c r="X467">
        <f t="shared" si="107"/>
        <v>0.74561221971387381</v>
      </c>
      <c r="Y467">
        <f t="shared" si="107"/>
        <v>0.90200510273160095</v>
      </c>
      <c r="Z467">
        <f t="shared" si="107"/>
        <v>0.80337740099723254</v>
      </c>
      <c r="AA467">
        <f t="shared" si="107"/>
        <v>0.95671077728983633</v>
      </c>
      <c r="AB467">
        <f t="shared" si="107"/>
        <v>0.7562283205583904</v>
      </c>
      <c r="AC467">
        <f t="shared" si="107"/>
        <v>0.79676490830168423</v>
      </c>
      <c r="AD467">
        <f t="shared" si="107"/>
        <v>0.96980924999555063</v>
      </c>
      <c r="AE467">
        <f t="shared" si="107"/>
        <v>0.90554225650416831</v>
      </c>
      <c r="AF467">
        <f t="shared" si="107"/>
        <v>0.93489710506003776</v>
      </c>
      <c r="AG467">
        <f t="shared" si="107"/>
        <v>0.90677028531237669</v>
      </c>
      <c r="AH467">
        <f t="shared" si="107"/>
        <v>0.99866358544523515</v>
      </c>
      <c r="AI467">
        <f t="shared" si="107"/>
        <v>0.82605406085638133</v>
      </c>
      <c r="AJ467">
        <f t="shared" si="107"/>
        <v>0.91903968009102455</v>
      </c>
      <c r="AK467">
        <f t="shared" si="107"/>
        <v>1.1130886330471184</v>
      </c>
      <c r="AL467">
        <f t="shared" si="107"/>
        <v>0.8715009358733109</v>
      </c>
      <c r="AM467">
        <f t="shared" si="107"/>
        <v>1.0884542029679103</v>
      </c>
      <c r="AN467">
        <f t="shared" si="107"/>
        <v>1.1010183881243287</v>
      </c>
      <c r="AO467">
        <f t="shared" si="107"/>
        <v>0.86140523088864984</v>
      </c>
      <c r="AP467">
        <f t="shared" si="107"/>
        <v>0</v>
      </c>
      <c r="AQ467">
        <f t="shared" si="107"/>
        <v>0.7889820849406598</v>
      </c>
      <c r="AR467">
        <f t="shared" si="107"/>
        <v>0.81673117769618742</v>
      </c>
      <c r="AS467">
        <f t="shared" si="107"/>
        <v>0.83577630634140654</v>
      </c>
      <c r="AT467">
        <f t="shared" si="107"/>
        <v>0.86177927812812682</v>
      </c>
      <c r="AU467">
        <f t="shared" si="107"/>
        <v>0.94161738847070642</v>
      </c>
      <c r="AV467">
        <f t="shared" si="107"/>
        <v>0.9607428806991023</v>
      </c>
      <c r="AW467">
        <f t="shared" si="107"/>
        <v>0.82981970840863828</v>
      </c>
      <c r="AX467">
        <f t="shared" si="107"/>
        <v>0.93902108063851975</v>
      </c>
      <c r="AY467">
        <f t="shared" si="107"/>
        <v>1.0474948560259636</v>
      </c>
      <c r="AZ467">
        <f t="shared" si="107"/>
        <v>1.0588094153669032</v>
      </c>
      <c r="BA467">
        <f t="shared" si="107"/>
        <v>0.99444024258203723</v>
      </c>
      <c r="BB467">
        <f t="shared" si="107"/>
        <v>0.69624614414671515</v>
      </c>
      <c r="BC467">
        <f t="shared" si="107"/>
        <v>0.81921258532627927</v>
      </c>
      <c r="BD467">
        <f t="shared" si="107"/>
        <v>0.95211328157240827</v>
      </c>
    </row>
    <row r="468" spans="1:56" x14ac:dyDescent="0.2">
      <c r="A468">
        <v>42</v>
      </c>
      <c r="B468">
        <f t="shared" ref="B468:BD468" si="108">1-B412</f>
        <v>0.95472937227122701</v>
      </c>
      <c r="C468">
        <f t="shared" si="108"/>
        <v>0.82563142012874235</v>
      </c>
      <c r="D468">
        <f t="shared" si="108"/>
        <v>0.53511422705456535</v>
      </c>
      <c r="E468">
        <f t="shared" si="108"/>
        <v>1.0381292818594636</v>
      </c>
      <c r="F468">
        <f t="shared" si="108"/>
        <v>0.99980057509917442</v>
      </c>
      <c r="G468">
        <f t="shared" si="108"/>
        <v>0.89616710184973858</v>
      </c>
      <c r="H468">
        <f t="shared" si="108"/>
        <v>1.0413037750879666</v>
      </c>
      <c r="I468">
        <f t="shared" si="108"/>
        <v>0.90857994924483987</v>
      </c>
      <c r="J468">
        <f t="shared" si="108"/>
        <v>0.77107051883148892</v>
      </c>
      <c r="K468">
        <f t="shared" si="108"/>
        <v>0.64777370577819182</v>
      </c>
      <c r="L468">
        <f t="shared" si="108"/>
        <v>0.86923819106882894</v>
      </c>
      <c r="M468">
        <f t="shared" si="108"/>
        <v>0.9669576537347232</v>
      </c>
      <c r="N468">
        <f t="shared" si="108"/>
        <v>1.0137236165188226</v>
      </c>
      <c r="O468">
        <f t="shared" si="108"/>
        <v>0.94128648288885208</v>
      </c>
      <c r="P468">
        <f t="shared" si="108"/>
        <v>0.80900777129107992</v>
      </c>
      <c r="Q468">
        <f t="shared" si="108"/>
        <v>0.76871224642788138</v>
      </c>
      <c r="R468">
        <f t="shared" si="108"/>
        <v>0.74525477231635706</v>
      </c>
      <c r="S468">
        <f t="shared" si="108"/>
        <v>0.54945909265107284</v>
      </c>
      <c r="T468">
        <f t="shared" si="108"/>
        <v>0.80339583465092756</v>
      </c>
      <c r="U468">
        <f t="shared" si="108"/>
        <v>0.94653466277944054</v>
      </c>
      <c r="V468">
        <f t="shared" si="108"/>
        <v>0.7712132114032717</v>
      </c>
      <c r="W468">
        <f t="shared" si="108"/>
        <v>0.81696671045136093</v>
      </c>
      <c r="X468">
        <f t="shared" si="108"/>
        <v>0.78011219293278222</v>
      </c>
      <c r="Y468">
        <f t="shared" si="108"/>
        <v>0.92645748540110051</v>
      </c>
      <c r="Z468">
        <f t="shared" si="108"/>
        <v>0.91358637256022446</v>
      </c>
      <c r="AA468">
        <f t="shared" si="108"/>
        <v>0.73394204640143501</v>
      </c>
      <c r="AB468">
        <f t="shared" si="108"/>
        <v>1.151633722934873</v>
      </c>
      <c r="AC468">
        <f t="shared" si="108"/>
        <v>0.81437593618399617</v>
      </c>
      <c r="AD468">
        <f t="shared" si="108"/>
        <v>0.87053141822812385</v>
      </c>
      <c r="AE468">
        <f t="shared" si="108"/>
        <v>0.85765279792905269</v>
      </c>
      <c r="AF468">
        <f t="shared" si="108"/>
        <v>0.83668679755593112</v>
      </c>
      <c r="AG468">
        <f t="shared" si="108"/>
        <v>0.96445902012143092</v>
      </c>
      <c r="AH468">
        <f t="shared" si="108"/>
        <v>0.955919624829076</v>
      </c>
      <c r="AI468">
        <f t="shared" si="108"/>
        <v>0.70576654629403712</v>
      </c>
      <c r="AJ468">
        <f t="shared" si="108"/>
        <v>0.49737806603679557</v>
      </c>
      <c r="AK468">
        <f t="shared" si="108"/>
        <v>0.88608484243160701</v>
      </c>
      <c r="AL468">
        <f t="shared" si="108"/>
        <v>0.92542925757374983</v>
      </c>
      <c r="AM468">
        <f t="shared" si="108"/>
        <v>0.91338667307074006</v>
      </c>
      <c r="AN468">
        <f t="shared" si="108"/>
        <v>0.91336621278350871</v>
      </c>
      <c r="AO468">
        <f t="shared" si="108"/>
        <v>0.95100195360088402</v>
      </c>
      <c r="AP468">
        <f t="shared" si="108"/>
        <v>0.7889820849406598</v>
      </c>
      <c r="AQ468">
        <f t="shared" si="108"/>
        <v>0</v>
      </c>
      <c r="AR468">
        <f t="shared" si="108"/>
        <v>0.79711153510640376</v>
      </c>
      <c r="AS468">
        <f t="shared" si="108"/>
        <v>0.81448847897252963</v>
      </c>
      <c r="AT468">
        <f t="shared" si="108"/>
        <v>0.60399989075090477</v>
      </c>
      <c r="AU468">
        <f t="shared" si="108"/>
        <v>1.0351271131980617</v>
      </c>
      <c r="AV468">
        <f t="shared" si="108"/>
        <v>0.94528654778163446</v>
      </c>
      <c r="AW468">
        <f t="shared" si="108"/>
        <v>0.56031540660895995</v>
      </c>
      <c r="AX468">
        <f t="shared" si="108"/>
        <v>0.91063170156523476</v>
      </c>
      <c r="AY468">
        <f t="shared" si="108"/>
        <v>0.87320598988352005</v>
      </c>
      <c r="AZ468">
        <f t="shared" si="108"/>
        <v>1.0111739315963464</v>
      </c>
      <c r="BA468">
        <f t="shared" si="108"/>
        <v>1.0056093765980081</v>
      </c>
      <c r="BB468">
        <f t="shared" si="108"/>
        <v>0.56992010039537644</v>
      </c>
      <c r="BC468">
        <f t="shared" si="108"/>
        <v>0.83202538439438756</v>
      </c>
      <c r="BD468">
        <f t="shared" si="108"/>
        <v>0.40291622759108692</v>
      </c>
    </row>
    <row r="469" spans="1:56" x14ac:dyDescent="0.2">
      <c r="A469">
        <v>43</v>
      </c>
      <c r="B469">
        <f t="shared" ref="B469:BD469" si="109">1-B413</f>
        <v>0.7964471119605292</v>
      </c>
      <c r="C469">
        <f t="shared" si="109"/>
        <v>0.70744351522576299</v>
      </c>
      <c r="D469">
        <f t="shared" si="109"/>
        <v>0.51962822947141685</v>
      </c>
      <c r="E469">
        <f t="shared" si="109"/>
        <v>1.015077864295689</v>
      </c>
      <c r="F469">
        <f t="shared" si="109"/>
        <v>0.87533476839329849</v>
      </c>
      <c r="G469">
        <f t="shared" si="109"/>
        <v>0.89123502236913821</v>
      </c>
      <c r="H469">
        <f t="shared" si="109"/>
        <v>1.0594921509940434</v>
      </c>
      <c r="I469">
        <f t="shared" si="109"/>
        <v>0.82204334004924862</v>
      </c>
      <c r="J469">
        <f t="shared" si="109"/>
        <v>0.55678354359284876</v>
      </c>
      <c r="K469">
        <f t="shared" si="109"/>
        <v>0.65219471194361756</v>
      </c>
      <c r="L469">
        <f t="shared" si="109"/>
        <v>0.72508413243620962</v>
      </c>
      <c r="M469">
        <f t="shared" si="109"/>
        <v>1.003930512959087</v>
      </c>
      <c r="N469">
        <f t="shared" si="109"/>
        <v>0.98769649520911418</v>
      </c>
      <c r="O469">
        <f t="shared" si="109"/>
        <v>0.93672354962184756</v>
      </c>
      <c r="P469">
        <f t="shared" si="109"/>
        <v>0.56487316664714093</v>
      </c>
      <c r="Q469">
        <f t="shared" si="109"/>
        <v>0.66555132778439741</v>
      </c>
      <c r="R469">
        <f t="shared" si="109"/>
        <v>0.55927717055919268</v>
      </c>
      <c r="S469">
        <f t="shared" si="109"/>
        <v>0.59455678747837915</v>
      </c>
      <c r="T469">
        <f t="shared" si="109"/>
        <v>0.64727436968742025</v>
      </c>
      <c r="U469">
        <f t="shared" si="109"/>
        <v>0.87236325354427424</v>
      </c>
      <c r="V469">
        <f t="shared" si="109"/>
        <v>0.64035366745189815</v>
      </c>
      <c r="W469">
        <f t="shared" si="109"/>
        <v>0.74924157694270499</v>
      </c>
      <c r="X469">
        <f t="shared" si="109"/>
        <v>0.67567563037065637</v>
      </c>
      <c r="Y469">
        <f t="shared" si="109"/>
        <v>0.83060523399844155</v>
      </c>
      <c r="Z469">
        <f t="shared" si="109"/>
        <v>0.69337168424448437</v>
      </c>
      <c r="AA469">
        <f t="shared" si="109"/>
        <v>0.6256165678453145</v>
      </c>
      <c r="AB469">
        <f t="shared" si="109"/>
        <v>1.1824896806242542</v>
      </c>
      <c r="AC469">
        <f t="shared" si="109"/>
        <v>0.75267038287220522</v>
      </c>
      <c r="AD469">
        <f t="shared" si="109"/>
        <v>1.01406679618428</v>
      </c>
      <c r="AE469">
        <f t="shared" si="109"/>
        <v>0.67105441743903849</v>
      </c>
      <c r="AF469">
        <f t="shared" si="109"/>
        <v>0.80489559457455462</v>
      </c>
      <c r="AG469">
        <f t="shared" si="109"/>
        <v>0.77272798265427189</v>
      </c>
      <c r="AH469">
        <f t="shared" si="109"/>
        <v>0.85465124301702489</v>
      </c>
      <c r="AI469">
        <f t="shared" si="109"/>
        <v>0.76604695714433979</v>
      </c>
      <c r="AJ469">
        <f t="shared" si="109"/>
        <v>0.5217765609832905</v>
      </c>
      <c r="AK469">
        <f t="shared" si="109"/>
        <v>0.81741139848068767</v>
      </c>
      <c r="AL469">
        <f t="shared" si="109"/>
        <v>0.8081324677715831</v>
      </c>
      <c r="AM469">
        <f t="shared" si="109"/>
        <v>0.89571787608772391</v>
      </c>
      <c r="AN469">
        <f t="shared" si="109"/>
        <v>0.88695670826485284</v>
      </c>
      <c r="AO469">
        <f t="shared" si="109"/>
        <v>0.84791626304472978</v>
      </c>
      <c r="AP469">
        <f t="shared" si="109"/>
        <v>0.81673117769618742</v>
      </c>
      <c r="AQ469">
        <f t="shared" si="109"/>
        <v>0.79711153510640376</v>
      </c>
      <c r="AR469">
        <f t="shared" si="109"/>
        <v>0</v>
      </c>
      <c r="AS469">
        <f t="shared" si="109"/>
        <v>0.62196180373529009</v>
      </c>
      <c r="AT469">
        <f t="shared" si="109"/>
        <v>0.587842778458469</v>
      </c>
      <c r="AU469">
        <f t="shared" si="109"/>
        <v>0.99916138377599062</v>
      </c>
      <c r="AV469">
        <f t="shared" si="109"/>
        <v>0.87866928823662838</v>
      </c>
      <c r="AW469">
        <f t="shared" si="109"/>
        <v>0.5360342941019991</v>
      </c>
      <c r="AX469">
        <f t="shared" si="109"/>
        <v>0.82538586017071891</v>
      </c>
      <c r="AY469">
        <f t="shared" si="109"/>
        <v>1.0396771581266624</v>
      </c>
      <c r="AZ469">
        <f t="shared" si="109"/>
        <v>1.0552379723726821</v>
      </c>
      <c r="BA469">
        <f t="shared" si="109"/>
        <v>0.94882869697961225</v>
      </c>
      <c r="BB469">
        <f t="shared" si="109"/>
        <v>0.5058248036873445</v>
      </c>
      <c r="BC469">
        <f t="shared" si="109"/>
        <v>0.69151843997422002</v>
      </c>
      <c r="BD469">
        <f t="shared" si="109"/>
        <v>0.53406403736498231</v>
      </c>
    </row>
    <row r="470" spans="1:56" x14ac:dyDescent="0.2">
      <c r="A470">
        <v>44</v>
      </c>
      <c r="B470">
        <f t="shared" ref="B470:BD470" si="110">1-B414</f>
        <v>0.62220184198062678</v>
      </c>
      <c r="C470">
        <f t="shared" si="110"/>
        <v>0.61234661567003701</v>
      </c>
      <c r="D470">
        <f t="shared" si="110"/>
        <v>0.57743418974040628</v>
      </c>
      <c r="E470">
        <f t="shared" si="110"/>
        <v>0.81201995708857788</v>
      </c>
      <c r="F470">
        <f t="shared" si="110"/>
        <v>0.90711239752743489</v>
      </c>
      <c r="G470">
        <f t="shared" si="110"/>
        <v>0.87200828958810828</v>
      </c>
      <c r="H470">
        <f t="shared" si="110"/>
        <v>1.0209493022758378</v>
      </c>
      <c r="I470">
        <f t="shared" si="110"/>
        <v>0.88310987982933142</v>
      </c>
      <c r="J470">
        <f t="shared" si="110"/>
        <v>0.55407430068741048</v>
      </c>
      <c r="K470">
        <f t="shared" si="110"/>
        <v>0.57287191313733066</v>
      </c>
      <c r="L470">
        <f t="shared" si="110"/>
        <v>0.78853742241818237</v>
      </c>
      <c r="M470">
        <f t="shared" si="110"/>
        <v>0.98078481502131953</v>
      </c>
      <c r="N470">
        <f t="shared" si="110"/>
        <v>0.96087886662164246</v>
      </c>
      <c r="O470">
        <f t="shared" si="110"/>
        <v>0.99304367564160834</v>
      </c>
      <c r="P470">
        <f t="shared" si="110"/>
        <v>0.47336681020050553</v>
      </c>
      <c r="Q470">
        <f t="shared" si="110"/>
        <v>0.71309965448789181</v>
      </c>
      <c r="R470">
        <f t="shared" si="110"/>
        <v>0.59416515968869166</v>
      </c>
      <c r="S470">
        <f t="shared" si="110"/>
        <v>0.55538091364835229</v>
      </c>
      <c r="T470">
        <f t="shared" si="110"/>
        <v>0.54604856520313882</v>
      </c>
      <c r="U470">
        <f t="shared" si="110"/>
        <v>0.90344969233196171</v>
      </c>
      <c r="V470">
        <f t="shared" si="110"/>
        <v>0.42879964872511012</v>
      </c>
      <c r="W470">
        <f t="shared" si="110"/>
        <v>0.59199509257231198</v>
      </c>
      <c r="X470">
        <f t="shared" si="110"/>
        <v>0.79603632025286342</v>
      </c>
      <c r="Y470">
        <f t="shared" si="110"/>
        <v>0.63521843669445976</v>
      </c>
      <c r="Z470">
        <f t="shared" si="110"/>
        <v>0.68041255893247155</v>
      </c>
      <c r="AA470">
        <f t="shared" si="110"/>
        <v>0.45088410921094435</v>
      </c>
      <c r="AB470">
        <f t="shared" si="110"/>
        <v>1.1172898440068688</v>
      </c>
      <c r="AC470">
        <f t="shared" si="110"/>
        <v>0.63218789239460049</v>
      </c>
      <c r="AD470">
        <f t="shared" si="110"/>
        <v>0.84269918369023755</v>
      </c>
      <c r="AE470">
        <f t="shared" si="110"/>
        <v>0.72242761153544399</v>
      </c>
      <c r="AF470">
        <f t="shared" si="110"/>
        <v>0.72102684962444807</v>
      </c>
      <c r="AG470">
        <f t="shared" si="110"/>
        <v>0.64934060310933472</v>
      </c>
      <c r="AH470">
        <f t="shared" si="110"/>
        <v>0.7549249340767632</v>
      </c>
      <c r="AI470">
        <f t="shared" si="110"/>
        <v>0.79186706279252872</v>
      </c>
      <c r="AJ470">
        <f t="shared" si="110"/>
        <v>0.52615348725152744</v>
      </c>
      <c r="AK470">
        <f t="shared" si="110"/>
        <v>0.81274228767362766</v>
      </c>
      <c r="AL470">
        <f t="shared" si="110"/>
        <v>0.67977522244565869</v>
      </c>
      <c r="AM470">
        <f t="shared" si="110"/>
        <v>0.70423870453327209</v>
      </c>
      <c r="AN470">
        <f t="shared" si="110"/>
        <v>0.68775405589279437</v>
      </c>
      <c r="AO470">
        <f t="shared" si="110"/>
        <v>0.75439624201442834</v>
      </c>
      <c r="AP470">
        <f t="shared" si="110"/>
        <v>0.83577630634140654</v>
      </c>
      <c r="AQ470">
        <f t="shared" si="110"/>
        <v>0.81448847897252963</v>
      </c>
      <c r="AR470">
        <f t="shared" si="110"/>
        <v>0.62196180373529009</v>
      </c>
      <c r="AS470">
        <f t="shared" si="110"/>
        <v>0</v>
      </c>
      <c r="AT470">
        <f t="shared" si="110"/>
        <v>0.55640488073430183</v>
      </c>
      <c r="AU470">
        <f t="shared" si="110"/>
        <v>0.9665142629559782</v>
      </c>
      <c r="AV470">
        <f t="shared" si="110"/>
        <v>0.89172432817617509</v>
      </c>
      <c r="AW470">
        <f t="shared" si="110"/>
        <v>0.5493534293169251</v>
      </c>
      <c r="AX470">
        <f t="shared" si="110"/>
        <v>0.87989297465645677</v>
      </c>
      <c r="AY470">
        <f t="shared" si="110"/>
        <v>1.0572705127938127</v>
      </c>
      <c r="AZ470">
        <f t="shared" si="110"/>
        <v>1.0018547289427182</v>
      </c>
      <c r="BA470">
        <f t="shared" si="110"/>
        <v>0.97977230200399379</v>
      </c>
      <c r="BB470">
        <f t="shared" si="110"/>
        <v>0.46908104525039407</v>
      </c>
      <c r="BC470">
        <f t="shared" si="110"/>
        <v>0.62946363000309835</v>
      </c>
      <c r="BD470">
        <f t="shared" si="110"/>
        <v>0.42816345575302583</v>
      </c>
    </row>
    <row r="471" spans="1:56" x14ac:dyDescent="0.2">
      <c r="A471">
        <v>45</v>
      </c>
      <c r="B471">
        <f t="shared" ref="B471:BD471" si="111">1-B415</f>
        <v>0.58450884413858151</v>
      </c>
      <c r="C471">
        <f t="shared" si="111"/>
        <v>0.5378602192732197</v>
      </c>
      <c r="D471">
        <f t="shared" si="111"/>
        <v>0.38911638898178447</v>
      </c>
      <c r="E471">
        <f t="shared" si="111"/>
        <v>0.90344951737147561</v>
      </c>
      <c r="F471">
        <f t="shared" si="111"/>
        <v>0.96542096163697289</v>
      </c>
      <c r="G471">
        <f t="shared" si="111"/>
        <v>0.81122074211232487</v>
      </c>
      <c r="H471">
        <f t="shared" si="111"/>
        <v>0.90624546029925579</v>
      </c>
      <c r="I471">
        <f t="shared" si="111"/>
        <v>0.81155219876666829</v>
      </c>
      <c r="J471">
        <f t="shared" si="111"/>
        <v>0.48943885397323161</v>
      </c>
      <c r="K471">
        <f t="shared" si="111"/>
        <v>0.68888351239560652</v>
      </c>
      <c r="L471">
        <f t="shared" si="111"/>
        <v>0.68354894216688511</v>
      </c>
      <c r="M471">
        <f t="shared" si="111"/>
        <v>0.86777820906156777</v>
      </c>
      <c r="N471">
        <f t="shared" si="111"/>
        <v>0.9260415241593597</v>
      </c>
      <c r="O471">
        <f t="shared" si="111"/>
        <v>0.94858835234814698</v>
      </c>
      <c r="P471">
        <f t="shared" si="111"/>
        <v>0.50454203269001674</v>
      </c>
      <c r="Q471">
        <f t="shared" si="111"/>
        <v>0.67557751943866917</v>
      </c>
      <c r="R471">
        <f t="shared" si="111"/>
        <v>0.61234038502617461</v>
      </c>
      <c r="S471">
        <f t="shared" si="111"/>
        <v>0.49533282046135774</v>
      </c>
      <c r="T471">
        <f t="shared" si="111"/>
        <v>0.51299570025567343</v>
      </c>
      <c r="U471">
        <f t="shared" si="111"/>
        <v>0.76184357746489562</v>
      </c>
      <c r="V471">
        <f t="shared" si="111"/>
        <v>0.47418617245969941</v>
      </c>
      <c r="W471">
        <f t="shared" si="111"/>
        <v>0.66674746300008947</v>
      </c>
      <c r="X471">
        <f t="shared" si="111"/>
        <v>0.71432662200914643</v>
      </c>
      <c r="Y471">
        <f t="shared" si="111"/>
        <v>0.57954295756914809</v>
      </c>
      <c r="Z471">
        <f t="shared" si="111"/>
        <v>0.63294123565794091</v>
      </c>
      <c r="AA471">
        <f t="shared" si="111"/>
        <v>0.46641711057084512</v>
      </c>
      <c r="AB471">
        <f t="shared" si="111"/>
        <v>1.1281923847157469</v>
      </c>
      <c r="AC471">
        <f t="shared" si="111"/>
        <v>0.6102944585517146</v>
      </c>
      <c r="AD471">
        <f t="shared" si="111"/>
        <v>0.83201640150109113</v>
      </c>
      <c r="AE471">
        <f t="shared" si="111"/>
        <v>0.77303343598591856</v>
      </c>
      <c r="AF471">
        <f t="shared" si="111"/>
        <v>0.48785389935944079</v>
      </c>
      <c r="AG471">
        <f t="shared" si="111"/>
        <v>0.77285087607013569</v>
      </c>
      <c r="AH471">
        <f t="shared" si="111"/>
        <v>0.65355933303758285</v>
      </c>
      <c r="AI471">
        <f t="shared" si="111"/>
        <v>0.64885421526258069</v>
      </c>
      <c r="AJ471">
        <f t="shared" si="111"/>
        <v>0.46782578043978384</v>
      </c>
      <c r="AK471">
        <f t="shared" si="111"/>
        <v>0.675178554647762</v>
      </c>
      <c r="AL471">
        <f t="shared" si="111"/>
        <v>0.82512170035166832</v>
      </c>
      <c r="AM471">
        <f t="shared" si="111"/>
        <v>0.73326369407676861</v>
      </c>
      <c r="AN471">
        <f t="shared" si="111"/>
        <v>0.73650954683139847</v>
      </c>
      <c r="AO471">
        <f t="shared" si="111"/>
        <v>0.86771713724514266</v>
      </c>
      <c r="AP471">
        <f t="shared" si="111"/>
        <v>0.86177927812812682</v>
      </c>
      <c r="AQ471">
        <f t="shared" si="111"/>
        <v>0.60399989075090477</v>
      </c>
      <c r="AR471">
        <f t="shared" si="111"/>
        <v>0.587842778458469</v>
      </c>
      <c r="AS471">
        <f t="shared" si="111"/>
        <v>0.55640488073430183</v>
      </c>
      <c r="AT471">
        <f t="shared" si="111"/>
        <v>0</v>
      </c>
      <c r="AU471">
        <f t="shared" si="111"/>
        <v>1.0325136975911005</v>
      </c>
      <c r="AV471">
        <f t="shared" si="111"/>
        <v>0.87658208075110178</v>
      </c>
      <c r="AW471">
        <f t="shared" si="111"/>
        <v>0.52652547961742036</v>
      </c>
      <c r="AX471">
        <f t="shared" si="111"/>
        <v>0.81234523306607476</v>
      </c>
      <c r="AY471">
        <f t="shared" si="111"/>
        <v>1.1010491970314049</v>
      </c>
      <c r="AZ471">
        <f t="shared" si="111"/>
        <v>1.0991426568113063</v>
      </c>
      <c r="BA471">
        <f t="shared" si="111"/>
        <v>1.0296472737771409</v>
      </c>
      <c r="BB471">
        <f t="shared" si="111"/>
        <v>0.49810223606735882</v>
      </c>
      <c r="BC471">
        <f t="shared" si="111"/>
        <v>0.56296827606391742</v>
      </c>
      <c r="BD471">
        <f t="shared" si="111"/>
        <v>0.35678293879692835</v>
      </c>
    </row>
    <row r="472" spans="1:56" x14ac:dyDescent="0.2">
      <c r="A472">
        <v>46</v>
      </c>
      <c r="B472">
        <f t="shared" ref="B472:BD472" si="112">1-B416</f>
        <v>0.78606425033732541</v>
      </c>
      <c r="C472">
        <f t="shared" si="112"/>
        <v>0.98361129634591882</v>
      </c>
      <c r="D472">
        <f t="shared" si="112"/>
        <v>1.0215327026819492</v>
      </c>
      <c r="E472">
        <f t="shared" si="112"/>
        <v>0.85957038447449352</v>
      </c>
      <c r="F472">
        <f t="shared" si="112"/>
        <v>0.9983801404949364</v>
      </c>
      <c r="G472">
        <f t="shared" si="112"/>
        <v>1.0592690775852596</v>
      </c>
      <c r="H472">
        <f t="shared" si="112"/>
        <v>0.96549694118167484</v>
      </c>
      <c r="I472">
        <f t="shared" si="112"/>
        <v>0.99259463814052895</v>
      </c>
      <c r="J472">
        <f t="shared" si="112"/>
        <v>0.99378962038514296</v>
      </c>
      <c r="K472">
        <f t="shared" si="112"/>
        <v>0.745696002861301</v>
      </c>
      <c r="L472">
        <f t="shared" si="112"/>
        <v>0.9028055909937559</v>
      </c>
      <c r="M472">
        <f t="shared" si="112"/>
        <v>1.0335417428975744</v>
      </c>
      <c r="N472">
        <f t="shared" si="112"/>
        <v>0.94898299258723018</v>
      </c>
      <c r="O472">
        <f t="shared" si="112"/>
        <v>1.018011497267701</v>
      </c>
      <c r="P472">
        <f t="shared" si="112"/>
        <v>0.94826821550312257</v>
      </c>
      <c r="Q472">
        <f t="shared" si="112"/>
        <v>0.83720538375559306</v>
      </c>
      <c r="R472">
        <f t="shared" si="112"/>
        <v>0.93930815996327444</v>
      </c>
      <c r="S472">
        <f t="shared" si="112"/>
        <v>0.73070437517674347</v>
      </c>
      <c r="T472">
        <f t="shared" si="112"/>
        <v>0.98816934412057367</v>
      </c>
      <c r="U472">
        <f t="shared" si="112"/>
        <v>0.97233665508495803</v>
      </c>
      <c r="V472">
        <f t="shared" si="112"/>
        <v>0.92411822313383607</v>
      </c>
      <c r="W472">
        <f t="shared" si="112"/>
        <v>0.95716213105854964</v>
      </c>
      <c r="X472">
        <f t="shared" si="112"/>
        <v>0.94738848418402288</v>
      </c>
      <c r="Y472">
        <f t="shared" si="112"/>
        <v>0.8878077628677038</v>
      </c>
      <c r="Z472">
        <f t="shared" si="112"/>
        <v>0.91892269396909598</v>
      </c>
      <c r="AA472">
        <f t="shared" si="112"/>
        <v>0.94611179528946487</v>
      </c>
      <c r="AB472">
        <f t="shared" si="112"/>
        <v>1.2109491002806518</v>
      </c>
      <c r="AC472">
        <f t="shared" si="112"/>
        <v>0.92405531049261491</v>
      </c>
      <c r="AD472">
        <f t="shared" si="112"/>
        <v>1.015039102637797</v>
      </c>
      <c r="AE472">
        <f t="shared" si="112"/>
        <v>0.98408003106121955</v>
      </c>
      <c r="AF472">
        <f t="shared" si="112"/>
        <v>1.0351893285224307</v>
      </c>
      <c r="AG472">
        <f t="shared" si="112"/>
        <v>0.95399322193766001</v>
      </c>
      <c r="AH472">
        <f t="shared" si="112"/>
        <v>0.98800901974650945</v>
      </c>
      <c r="AI472">
        <f t="shared" si="112"/>
        <v>0.89886329947682919</v>
      </c>
      <c r="AJ472">
        <f t="shared" si="112"/>
        <v>0.83567882806187099</v>
      </c>
      <c r="AK472">
        <f t="shared" si="112"/>
        <v>0.91689140095730859</v>
      </c>
      <c r="AL472">
        <f t="shared" si="112"/>
        <v>0.99528870520612256</v>
      </c>
      <c r="AM472">
        <f t="shared" si="112"/>
        <v>0.94184070287620014</v>
      </c>
      <c r="AN472">
        <f t="shared" si="112"/>
        <v>0.94714084762208239</v>
      </c>
      <c r="AO472">
        <f t="shared" si="112"/>
        <v>1.3779749084658361</v>
      </c>
      <c r="AP472">
        <f t="shared" si="112"/>
        <v>0.94161738847070642</v>
      </c>
      <c r="AQ472">
        <f t="shared" si="112"/>
        <v>1.0351271131980617</v>
      </c>
      <c r="AR472">
        <f t="shared" si="112"/>
        <v>0.99916138377599062</v>
      </c>
      <c r="AS472">
        <f t="shared" si="112"/>
        <v>0.9665142629559782</v>
      </c>
      <c r="AT472">
        <f t="shared" si="112"/>
        <v>1.0325136975911005</v>
      </c>
      <c r="AU472">
        <f t="shared" si="112"/>
        <v>0</v>
      </c>
      <c r="AV472">
        <f t="shared" si="112"/>
        <v>1.0554481814600354</v>
      </c>
      <c r="AW472">
        <f t="shared" si="112"/>
        <v>0.90398349452269966</v>
      </c>
      <c r="AX472">
        <f t="shared" si="112"/>
        <v>0.98809482925927028</v>
      </c>
      <c r="AY472">
        <f t="shared" si="112"/>
        <v>1.1084508007227063</v>
      </c>
      <c r="AZ472">
        <f t="shared" si="112"/>
        <v>0.98683248268473545</v>
      </c>
      <c r="BA472">
        <f t="shared" si="112"/>
        <v>1.0076475854634022</v>
      </c>
      <c r="BB472">
        <f t="shared" si="112"/>
        <v>0.95625989330583927</v>
      </c>
      <c r="BC472">
        <f t="shared" si="112"/>
        <v>1.0041123630163316</v>
      </c>
      <c r="BD472">
        <f t="shared" si="112"/>
        <v>0.55920040720357655</v>
      </c>
    </row>
    <row r="473" spans="1:56" x14ac:dyDescent="0.2">
      <c r="A473">
        <v>47</v>
      </c>
      <c r="B473">
        <f t="shared" ref="B473:BD473" si="113">1-B417</f>
        <v>1.0095519063251126</v>
      </c>
      <c r="C473">
        <f t="shared" si="113"/>
        <v>0.96352528173179897</v>
      </c>
      <c r="D473">
        <f t="shared" si="113"/>
        <v>0.96947429338245772</v>
      </c>
      <c r="E473">
        <f t="shared" si="113"/>
        <v>1.0121207950868949</v>
      </c>
      <c r="F473">
        <f t="shared" si="113"/>
        <v>0.95803719594798542</v>
      </c>
      <c r="G473">
        <f t="shared" si="113"/>
        <v>0.98279811768258596</v>
      </c>
      <c r="H473">
        <f t="shared" si="113"/>
        <v>0.98745727226490421</v>
      </c>
      <c r="I473">
        <f t="shared" si="113"/>
        <v>0.96705209630125621</v>
      </c>
      <c r="J473">
        <f t="shared" si="113"/>
        <v>0.95144761025618174</v>
      </c>
      <c r="K473">
        <f t="shared" si="113"/>
        <v>0.98522169657214553</v>
      </c>
      <c r="L473">
        <f t="shared" si="113"/>
        <v>0.93148729539932029</v>
      </c>
      <c r="M473">
        <f t="shared" si="113"/>
        <v>0.9531886697321259</v>
      </c>
      <c r="N473">
        <f t="shared" si="113"/>
        <v>0.97920978520405033</v>
      </c>
      <c r="O473">
        <f t="shared" si="113"/>
        <v>0.98598203523238126</v>
      </c>
      <c r="P473">
        <f t="shared" si="113"/>
        <v>0.92843747676751054</v>
      </c>
      <c r="Q473">
        <f t="shared" si="113"/>
        <v>0.90498440311071404</v>
      </c>
      <c r="R473">
        <f t="shared" si="113"/>
        <v>1.007687791919146</v>
      </c>
      <c r="S473">
        <f t="shared" si="113"/>
        <v>0.95836359367102186</v>
      </c>
      <c r="T473">
        <f t="shared" si="113"/>
        <v>0.9375435361958846</v>
      </c>
      <c r="U473">
        <f t="shared" si="113"/>
        <v>1.070486899922527</v>
      </c>
      <c r="V473">
        <f t="shared" si="113"/>
        <v>0.94566204487609484</v>
      </c>
      <c r="W473">
        <f t="shared" si="113"/>
        <v>0.9753483173975751</v>
      </c>
      <c r="X473">
        <f t="shared" si="113"/>
        <v>0.92023681038562744</v>
      </c>
      <c r="Y473">
        <f t="shared" si="113"/>
        <v>0.92978687931970472</v>
      </c>
      <c r="Z473">
        <f t="shared" si="113"/>
        <v>0.98409124916076351</v>
      </c>
      <c r="AA473">
        <f t="shared" si="113"/>
        <v>0.94013646420416985</v>
      </c>
      <c r="AB473">
        <f t="shared" si="113"/>
        <v>0.9796295726200468</v>
      </c>
      <c r="AC473">
        <f t="shared" si="113"/>
        <v>0.94271650121469519</v>
      </c>
      <c r="AD473">
        <f t="shared" si="113"/>
        <v>0.98811255558495248</v>
      </c>
      <c r="AE473">
        <f t="shared" si="113"/>
        <v>0.91952390062468325</v>
      </c>
      <c r="AF473">
        <f t="shared" si="113"/>
        <v>1.0187869808493049</v>
      </c>
      <c r="AG473">
        <f t="shared" si="113"/>
        <v>1.0007846826040614</v>
      </c>
      <c r="AH473">
        <f t="shared" si="113"/>
        <v>1.0050504190864098</v>
      </c>
      <c r="AI473">
        <f t="shared" si="113"/>
        <v>1.066792965900869</v>
      </c>
      <c r="AJ473">
        <f t="shared" si="113"/>
        <v>1.0331264327672993</v>
      </c>
      <c r="AK473">
        <f t="shared" si="113"/>
        <v>0.94949605700677708</v>
      </c>
      <c r="AL473">
        <f t="shared" si="113"/>
        <v>0.94928862097638778</v>
      </c>
      <c r="AM473">
        <f t="shared" si="113"/>
        <v>0.96450791100922872</v>
      </c>
      <c r="AN473">
        <f t="shared" si="113"/>
        <v>0.97583121719543009</v>
      </c>
      <c r="AO473">
        <f t="shared" si="113"/>
        <v>0.968166074476288</v>
      </c>
      <c r="AP473">
        <f t="shared" si="113"/>
        <v>0.9607428806991023</v>
      </c>
      <c r="AQ473">
        <f t="shared" si="113"/>
        <v>0.94528654778163446</v>
      </c>
      <c r="AR473">
        <f t="shared" si="113"/>
        <v>0.87866928823662838</v>
      </c>
      <c r="AS473">
        <f t="shared" si="113"/>
        <v>0.89172432817617509</v>
      </c>
      <c r="AT473">
        <f t="shared" si="113"/>
        <v>0.87658208075110178</v>
      </c>
      <c r="AU473">
        <f t="shared" si="113"/>
        <v>1.0554481814600354</v>
      </c>
      <c r="AV473">
        <f t="shared" si="113"/>
        <v>0</v>
      </c>
      <c r="AW473">
        <f t="shared" si="113"/>
        <v>0.949837596699311</v>
      </c>
      <c r="AX473">
        <f t="shared" si="113"/>
        <v>0.98636770927454342</v>
      </c>
      <c r="AY473">
        <f t="shared" si="113"/>
        <v>0.95354274808322204</v>
      </c>
      <c r="AZ473">
        <f t="shared" si="113"/>
        <v>1.0093059686339427</v>
      </c>
      <c r="BA473">
        <f t="shared" si="113"/>
        <v>0.99185034759748181</v>
      </c>
      <c r="BB473">
        <f t="shared" si="113"/>
        <v>0.97922652402215959</v>
      </c>
      <c r="BC473">
        <f t="shared" si="113"/>
        <v>1.0063890708683958</v>
      </c>
      <c r="BD473">
        <f t="shared" si="113"/>
        <v>1.0785001356676436</v>
      </c>
    </row>
    <row r="474" spans="1:56" x14ac:dyDescent="0.2">
      <c r="A474">
        <v>48</v>
      </c>
      <c r="B474">
        <f t="shared" ref="B474:BD474" si="114">1-B418</f>
        <v>0.53756728949242316</v>
      </c>
      <c r="C474">
        <f t="shared" si="114"/>
        <v>0.50933623630815139</v>
      </c>
      <c r="D474">
        <f t="shared" si="114"/>
        <v>0.46636814113349778</v>
      </c>
      <c r="E474">
        <f t="shared" si="114"/>
        <v>0.91538287170013011</v>
      </c>
      <c r="F474">
        <f t="shared" si="114"/>
        <v>0.94333473175564919</v>
      </c>
      <c r="G474">
        <f t="shared" si="114"/>
        <v>0.86337330503877385</v>
      </c>
      <c r="H474">
        <f t="shared" si="114"/>
        <v>0.99404573265495422</v>
      </c>
      <c r="I474">
        <f t="shared" si="114"/>
        <v>0.87367081312437467</v>
      </c>
      <c r="J474">
        <f t="shared" si="114"/>
        <v>0.46816292069384879</v>
      </c>
      <c r="K474">
        <f t="shared" si="114"/>
        <v>0.54028550788231111</v>
      </c>
      <c r="L474">
        <f t="shared" si="114"/>
        <v>0.72760326120630725</v>
      </c>
      <c r="M474">
        <f t="shared" si="114"/>
        <v>0.96417446591317024</v>
      </c>
      <c r="N474">
        <f t="shared" si="114"/>
        <v>0.97133648922178406</v>
      </c>
      <c r="O474">
        <f t="shared" si="114"/>
        <v>0.9896277796166798</v>
      </c>
      <c r="P474">
        <f t="shared" si="114"/>
        <v>0.51762826237501847</v>
      </c>
      <c r="Q474">
        <f t="shared" si="114"/>
        <v>0.56377420069441353</v>
      </c>
      <c r="R474">
        <f t="shared" si="114"/>
        <v>0.57162955171525542</v>
      </c>
      <c r="S474">
        <f t="shared" si="114"/>
        <v>0.44820556863511563</v>
      </c>
      <c r="T474">
        <f t="shared" si="114"/>
        <v>0.43995094261022039</v>
      </c>
      <c r="U474">
        <f t="shared" si="114"/>
        <v>0.67233264608773191</v>
      </c>
      <c r="V474">
        <f t="shared" si="114"/>
        <v>0.42178153061756585</v>
      </c>
      <c r="W474">
        <f t="shared" si="114"/>
        <v>0.52866743697347873</v>
      </c>
      <c r="X474">
        <f t="shared" si="114"/>
        <v>0.60547322169244522</v>
      </c>
      <c r="Y474">
        <f t="shared" si="114"/>
        <v>0.5124778451422719</v>
      </c>
      <c r="Z474">
        <f t="shared" si="114"/>
        <v>0.60841095149038193</v>
      </c>
      <c r="AA474">
        <f t="shared" si="114"/>
        <v>0.41356590794678783</v>
      </c>
      <c r="AB474">
        <f t="shared" si="114"/>
        <v>1.1171694722655041</v>
      </c>
      <c r="AC474">
        <f t="shared" si="114"/>
        <v>0.65767384569044307</v>
      </c>
      <c r="AD474">
        <f t="shared" si="114"/>
        <v>0.86266412791013924</v>
      </c>
      <c r="AE474">
        <f t="shared" si="114"/>
        <v>0.63729020214996801</v>
      </c>
      <c r="AF474">
        <f t="shared" si="114"/>
        <v>0.54967376645776267</v>
      </c>
      <c r="AG474">
        <f t="shared" si="114"/>
        <v>0.77194470761305922</v>
      </c>
      <c r="AH474">
        <f t="shared" si="114"/>
        <v>0.6982213363498615</v>
      </c>
      <c r="AI474">
        <f t="shared" si="114"/>
        <v>0.62828873415486841</v>
      </c>
      <c r="AJ474">
        <f t="shared" si="114"/>
        <v>0.62412641769178956</v>
      </c>
      <c r="AK474">
        <f t="shared" si="114"/>
        <v>0.64086887690217553</v>
      </c>
      <c r="AL474">
        <f t="shared" si="114"/>
        <v>0.78152789940700185</v>
      </c>
      <c r="AM474">
        <f t="shared" si="114"/>
        <v>0.70685329462856883</v>
      </c>
      <c r="AN474">
        <f t="shared" si="114"/>
        <v>0.71519657228768474</v>
      </c>
      <c r="AO474">
        <f t="shared" si="114"/>
        <v>1.048782041128699</v>
      </c>
      <c r="AP474">
        <f t="shared" si="114"/>
        <v>0.82981970840863828</v>
      </c>
      <c r="AQ474">
        <f t="shared" si="114"/>
        <v>0.56031540660895995</v>
      </c>
      <c r="AR474">
        <f t="shared" si="114"/>
        <v>0.5360342941019991</v>
      </c>
      <c r="AS474">
        <f t="shared" si="114"/>
        <v>0.5493534293169251</v>
      </c>
      <c r="AT474">
        <f t="shared" si="114"/>
        <v>0.52652547961742036</v>
      </c>
      <c r="AU474">
        <f t="shared" si="114"/>
        <v>0.90398349452269966</v>
      </c>
      <c r="AV474">
        <f t="shared" si="114"/>
        <v>0.949837596699311</v>
      </c>
      <c r="AW474">
        <f t="shared" si="114"/>
        <v>0</v>
      </c>
      <c r="AX474">
        <f t="shared" si="114"/>
        <v>0.86433881289468362</v>
      </c>
      <c r="AY474">
        <f t="shared" si="114"/>
        <v>1.1081022322649674</v>
      </c>
      <c r="AZ474">
        <f t="shared" si="114"/>
        <v>0.97307313825878439</v>
      </c>
      <c r="BA474">
        <f t="shared" si="114"/>
        <v>0.9967283844976097</v>
      </c>
      <c r="BB474">
        <f t="shared" si="114"/>
        <v>0.45276482557248265</v>
      </c>
      <c r="BC474">
        <f t="shared" si="114"/>
        <v>0.54371912555949409</v>
      </c>
      <c r="BD474">
        <f t="shared" si="114"/>
        <v>0.43121920606039554</v>
      </c>
    </row>
    <row r="475" spans="1:56" x14ac:dyDescent="0.2">
      <c r="A475">
        <v>49</v>
      </c>
      <c r="B475">
        <f t="shared" ref="B475:BD475" si="115">1-B419</f>
        <v>0.97166983818895114</v>
      </c>
      <c r="C475">
        <f t="shared" si="115"/>
        <v>0.82983627900194556</v>
      </c>
      <c r="D475">
        <f t="shared" si="115"/>
        <v>0.93597143395171312</v>
      </c>
      <c r="E475">
        <f t="shared" si="115"/>
        <v>0.99101165429365223</v>
      </c>
      <c r="F475">
        <f t="shared" si="115"/>
        <v>0.86817578933619399</v>
      </c>
      <c r="G475">
        <f t="shared" si="115"/>
        <v>0.20820062416069807</v>
      </c>
      <c r="H475">
        <f t="shared" si="115"/>
        <v>1.0017399744753255</v>
      </c>
      <c r="I475">
        <f t="shared" si="115"/>
        <v>0.10729479518856067</v>
      </c>
      <c r="J475">
        <f t="shared" si="115"/>
        <v>0.79098383965373664</v>
      </c>
      <c r="K475">
        <f t="shared" si="115"/>
        <v>1.0397648489396094</v>
      </c>
      <c r="L475">
        <f t="shared" si="115"/>
        <v>0.8319879736831739</v>
      </c>
      <c r="M475">
        <f t="shared" si="115"/>
        <v>0.71153286209823574</v>
      </c>
      <c r="N475">
        <f t="shared" si="115"/>
        <v>0.96849554864736775</v>
      </c>
      <c r="O475">
        <f t="shared" si="115"/>
        <v>0.6105721362481491</v>
      </c>
      <c r="P475">
        <f t="shared" si="115"/>
        <v>0.8697709024255762</v>
      </c>
      <c r="Q475">
        <f t="shared" si="115"/>
        <v>0.86309256195555717</v>
      </c>
      <c r="R475">
        <f t="shared" si="115"/>
        <v>0.91309041936776447</v>
      </c>
      <c r="S475">
        <f t="shared" si="115"/>
        <v>0.97129210635072349</v>
      </c>
      <c r="T475">
        <f t="shared" si="115"/>
        <v>0.86955506323576692</v>
      </c>
      <c r="U475">
        <f t="shared" si="115"/>
        <v>0.99818073688085729</v>
      </c>
      <c r="V475">
        <f t="shared" si="115"/>
        <v>0.84946387235674281</v>
      </c>
      <c r="W475">
        <f t="shared" si="115"/>
        <v>1.039251268444958</v>
      </c>
      <c r="X475">
        <f t="shared" si="115"/>
        <v>0.82459640160057079</v>
      </c>
      <c r="Y475">
        <f t="shared" si="115"/>
        <v>0.99795956616968295</v>
      </c>
      <c r="Z475">
        <f t="shared" si="115"/>
        <v>0.91141564654002161</v>
      </c>
      <c r="AA475">
        <f t="shared" si="115"/>
        <v>0.85860747431438389</v>
      </c>
      <c r="AB475">
        <f t="shared" si="115"/>
        <v>0.94082965746670721</v>
      </c>
      <c r="AC475">
        <f t="shared" si="115"/>
        <v>0.79035903415939579</v>
      </c>
      <c r="AD475">
        <f t="shared" si="115"/>
        <v>0.72457004118503843</v>
      </c>
      <c r="AE475">
        <f t="shared" si="115"/>
        <v>0.67523422900098273</v>
      </c>
      <c r="AF475">
        <f t="shared" si="115"/>
        <v>0.92249094530494569</v>
      </c>
      <c r="AG475">
        <f t="shared" si="115"/>
        <v>0.84899324684009159</v>
      </c>
      <c r="AH475">
        <f t="shared" si="115"/>
        <v>0.99397083155748711</v>
      </c>
      <c r="AI475">
        <f t="shared" si="115"/>
        <v>0.88218597350556671</v>
      </c>
      <c r="AJ475">
        <f t="shared" si="115"/>
        <v>0.91252562309332585</v>
      </c>
      <c r="AK475">
        <f t="shared" si="115"/>
        <v>0.75173227408640098</v>
      </c>
      <c r="AL475">
        <f t="shared" si="115"/>
        <v>1.0131004426629893</v>
      </c>
      <c r="AM475">
        <f t="shared" si="115"/>
        <v>1.0413315276718158</v>
      </c>
      <c r="AN475">
        <f t="shared" si="115"/>
        <v>1.0469497925969278</v>
      </c>
      <c r="AO475">
        <f t="shared" si="115"/>
        <v>0.96671429643532192</v>
      </c>
      <c r="AP475">
        <f t="shared" si="115"/>
        <v>0.93902108063851975</v>
      </c>
      <c r="AQ475">
        <f t="shared" si="115"/>
        <v>0.91063170156523476</v>
      </c>
      <c r="AR475">
        <f t="shared" si="115"/>
        <v>0.82538586017071891</v>
      </c>
      <c r="AS475">
        <f t="shared" si="115"/>
        <v>0.87989297465645677</v>
      </c>
      <c r="AT475">
        <f t="shared" si="115"/>
        <v>0.81234523306607476</v>
      </c>
      <c r="AU475">
        <f t="shared" si="115"/>
        <v>0.98809482925927028</v>
      </c>
      <c r="AV475">
        <f t="shared" si="115"/>
        <v>0.98636770927454342</v>
      </c>
      <c r="AW475">
        <f t="shared" si="115"/>
        <v>0.86433881289468362</v>
      </c>
      <c r="AX475">
        <f t="shared" si="115"/>
        <v>0</v>
      </c>
      <c r="AY475">
        <f t="shared" si="115"/>
        <v>0.90783240299107537</v>
      </c>
      <c r="AZ475">
        <f t="shared" si="115"/>
        <v>1.0046375780532226</v>
      </c>
      <c r="BA475">
        <f t="shared" si="115"/>
        <v>1.1557509553626095</v>
      </c>
      <c r="BB475">
        <f t="shared" si="115"/>
        <v>0.78300881127208011</v>
      </c>
      <c r="BC475">
        <f t="shared" si="115"/>
        <v>0.87452780727853474</v>
      </c>
      <c r="BD475">
        <f t="shared" si="115"/>
        <v>0.82025865045992008</v>
      </c>
    </row>
    <row r="476" spans="1:56" x14ac:dyDescent="0.2">
      <c r="A476">
        <v>50</v>
      </c>
      <c r="B476">
        <f t="shared" ref="B476:BD476" si="116">1-B420</f>
        <v>1.2120045686270007</v>
      </c>
      <c r="C476">
        <f t="shared" si="116"/>
        <v>1.0539951720111866</v>
      </c>
      <c r="D476">
        <f t="shared" si="116"/>
        <v>1.1165275568607613</v>
      </c>
      <c r="E476">
        <f t="shared" si="116"/>
        <v>1.0728449704059526</v>
      </c>
      <c r="F476">
        <f t="shared" si="116"/>
        <v>0.86823746028847759</v>
      </c>
      <c r="G476">
        <f t="shared" si="116"/>
        <v>0.97105281784299624</v>
      </c>
      <c r="H476">
        <f t="shared" si="116"/>
        <v>1.0527258296102464</v>
      </c>
      <c r="I476">
        <f t="shared" si="116"/>
        <v>0.83127009370432092</v>
      </c>
      <c r="J476">
        <f t="shared" si="116"/>
        <v>1.0368891929066197</v>
      </c>
      <c r="K476">
        <f t="shared" si="116"/>
        <v>1.1908014084865757</v>
      </c>
      <c r="L476">
        <f t="shared" si="116"/>
        <v>1.0291877625842702</v>
      </c>
      <c r="M476">
        <f t="shared" si="116"/>
        <v>1.0167194466938376</v>
      </c>
      <c r="N476">
        <f t="shared" si="116"/>
        <v>1.0353526312563344</v>
      </c>
      <c r="O476">
        <f t="shared" si="116"/>
        <v>1.0015635240104666</v>
      </c>
      <c r="P476">
        <f t="shared" si="116"/>
        <v>1.1565991663165356</v>
      </c>
      <c r="Q476">
        <f t="shared" si="116"/>
        <v>1.0171224276051833</v>
      </c>
      <c r="R476">
        <f t="shared" si="116"/>
        <v>1.1136056575416928</v>
      </c>
      <c r="S476">
        <f t="shared" si="116"/>
        <v>1.4265564990818196</v>
      </c>
      <c r="T476">
        <f t="shared" si="116"/>
        <v>0.96659337705881698</v>
      </c>
      <c r="U476">
        <f t="shared" si="116"/>
        <v>1.0191105382190804</v>
      </c>
      <c r="V476">
        <f t="shared" si="116"/>
        <v>1.100814540013124</v>
      </c>
      <c r="W476">
        <f t="shared" si="116"/>
        <v>1.0804119483754062</v>
      </c>
      <c r="X476">
        <f t="shared" si="116"/>
        <v>0.9930968967528585</v>
      </c>
      <c r="Y476">
        <f t="shared" si="116"/>
        <v>1.1303503372241559</v>
      </c>
      <c r="Z476">
        <f t="shared" si="116"/>
        <v>0.98958049220665767</v>
      </c>
      <c r="AA476">
        <f t="shared" si="116"/>
        <v>1.0875425561774108</v>
      </c>
      <c r="AB476">
        <f t="shared" si="116"/>
        <v>0.87563745153778894</v>
      </c>
      <c r="AC476">
        <f t="shared" si="116"/>
        <v>1.1010462263229337</v>
      </c>
      <c r="AD476">
        <f t="shared" si="116"/>
        <v>0.92892349502490146</v>
      </c>
      <c r="AE476">
        <f t="shared" si="116"/>
        <v>0.93701137697273262</v>
      </c>
      <c r="AF476">
        <f t="shared" si="116"/>
        <v>1.1392681960001076</v>
      </c>
      <c r="AG476">
        <f t="shared" si="116"/>
        <v>1.1045363171078442</v>
      </c>
      <c r="AH476">
        <f t="shared" si="116"/>
        <v>1.0885873821821694</v>
      </c>
      <c r="AI476">
        <f t="shared" si="116"/>
        <v>1.167745291545315</v>
      </c>
      <c r="AJ476">
        <f t="shared" si="116"/>
        <v>1.1195412766203907</v>
      </c>
      <c r="AK476">
        <f t="shared" si="116"/>
        <v>1.0708506638250759</v>
      </c>
      <c r="AL476">
        <f t="shared" si="116"/>
        <v>1.0949847467165748</v>
      </c>
      <c r="AM476">
        <f t="shared" si="116"/>
        <v>1.132150663071616</v>
      </c>
      <c r="AN476">
        <f t="shared" si="116"/>
        <v>1.1376489203034699</v>
      </c>
      <c r="AO476">
        <f t="shared" si="116"/>
        <v>1.045861073653753</v>
      </c>
      <c r="AP476">
        <f t="shared" si="116"/>
        <v>1.0474948560259636</v>
      </c>
      <c r="AQ476">
        <f t="shared" si="116"/>
        <v>0.87320598988352005</v>
      </c>
      <c r="AR476">
        <f t="shared" si="116"/>
        <v>1.0396771581266624</v>
      </c>
      <c r="AS476">
        <f t="shared" si="116"/>
        <v>1.0572705127938127</v>
      </c>
      <c r="AT476">
        <f t="shared" si="116"/>
        <v>1.1010491970314049</v>
      </c>
      <c r="AU476">
        <f t="shared" si="116"/>
        <v>1.1084508007227063</v>
      </c>
      <c r="AV476">
        <f t="shared" si="116"/>
        <v>0.95354274808322204</v>
      </c>
      <c r="AW476">
        <f t="shared" si="116"/>
        <v>1.1081022322649674</v>
      </c>
      <c r="AX476">
        <f t="shared" si="116"/>
        <v>0.90783240299107537</v>
      </c>
      <c r="AY476">
        <f t="shared" si="116"/>
        <v>0</v>
      </c>
      <c r="AZ476">
        <f t="shared" si="116"/>
        <v>0.93983793941439031</v>
      </c>
      <c r="BA476">
        <f t="shared" si="116"/>
        <v>1.0437713595008788</v>
      </c>
      <c r="BB476">
        <f t="shared" si="116"/>
        <v>1.0029800755412137</v>
      </c>
      <c r="BC476">
        <f t="shared" si="116"/>
        <v>1.0415963109395201</v>
      </c>
      <c r="BD476">
        <f t="shared" si="116"/>
        <v>1.4324271180482355</v>
      </c>
    </row>
    <row r="477" spans="1:56" x14ac:dyDescent="0.2">
      <c r="A477">
        <v>51</v>
      </c>
      <c r="B477">
        <f t="shared" ref="B477:BD477" si="117">1-B421</f>
        <v>0.99984224084915418</v>
      </c>
      <c r="C477">
        <f t="shared" si="117"/>
        <v>0.99820480598049799</v>
      </c>
      <c r="D477">
        <f t="shared" si="117"/>
        <v>1.1086895547057827</v>
      </c>
      <c r="E477">
        <f t="shared" si="117"/>
        <v>0.85064954757378941</v>
      </c>
      <c r="F477">
        <f t="shared" si="117"/>
        <v>1.032198944729066</v>
      </c>
      <c r="G477">
        <f t="shared" si="117"/>
        <v>1.0457217164410053</v>
      </c>
      <c r="H477">
        <f t="shared" si="117"/>
        <v>0.9686673542945573</v>
      </c>
      <c r="I477">
        <f t="shared" si="117"/>
        <v>1.0453040153386171</v>
      </c>
      <c r="J477">
        <f t="shared" si="117"/>
        <v>1.0848282654229418</v>
      </c>
      <c r="K477">
        <f t="shared" si="117"/>
        <v>0.97934299420916593</v>
      </c>
      <c r="L477">
        <f t="shared" si="117"/>
        <v>1.0423509064899232</v>
      </c>
      <c r="M477">
        <f t="shared" si="117"/>
        <v>1.1146012375717569</v>
      </c>
      <c r="N477">
        <f t="shared" si="117"/>
        <v>1.0887951020438118</v>
      </c>
      <c r="O477">
        <f t="shared" si="117"/>
        <v>1.0162538100681529</v>
      </c>
      <c r="P477">
        <f t="shared" si="117"/>
        <v>0.98711432725305159</v>
      </c>
      <c r="Q477">
        <f t="shared" si="117"/>
        <v>0.96095159807529373</v>
      </c>
      <c r="R477">
        <f t="shared" si="117"/>
        <v>1.0036885696994322</v>
      </c>
      <c r="S477">
        <f t="shared" si="117"/>
        <v>0.96998156777721445</v>
      </c>
      <c r="T477">
        <f t="shared" si="117"/>
        <v>1.0131796000050783</v>
      </c>
      <c r="U477">
        <f t="shared" si="117"/>
        <v>1.0815885339378628</v>
      </c>
      <c r="V477">
        <f t="shared" si="117"/>
        <v>0.99521224139673703</v>
      </c>
      <c r="W477">
        <f t="shared" si="117"/>
        <v>1.0109758714284458</v>
      </c>
      <c r="X477">
        <f t="shared" si="117"/>
        <v>1.0159444665184072</v>
      </c>
      <c r="Y477">
        <f t="shared" si="117"/>
        <v>0.97034388167467767</v>
      </c>
      <c r="Z477">
        <f t="shared" si="117"/>
        <v>0.91211645826165988</v>
      </c>
      <c r="AA477">
        <f t="shared" si="117"/>
        <v>1.0078522198569002</v>
      </c>
      <c r="AB477">
        <f t="shared" si="117"/>
        <v>1.0169588945985015</v>
      </c>
      <c r="AC477">
        <f t="shared" si="117"/>
        <v>0.99786829365321583</v>
      </c>
      <c r="AD477">
        <f t="shared" si="117"/>
        <v>0.94253361054603502</v>
      </c>
      <c r="AE477">
        <f t="shared" si="117"/>
        <v>1.046530969885751</v>
      </c>
      <c r="AF477">
        <f t="shared" si="117"/>
        <v>1.0160278554333839</v>
      </c>
      <c r="AG477">
        <f t="shared" si="117"/>
        <v>0.9794827174797931</v>
      </c>
      <c r="AH477">
        <f t="shared" si="117"/>
        <v>0.91100291320121696</v>
      </c>
      <c r="AI477">
        <f t="shared" si="117"/>
        <v>1.011261900488025</v>
      </c>
      <c r="AJ477">
        <f t="shared" si="117"/>
        <v>1.1100365545015467</v>
      </c>
      <c r="AK477">
        <f t="shared" si="117"/>
        <v>0.97369849091113481</v>
      </c>
      <c r="AL477">
        <f t="shared" si="117"/>
        <v>0.97556115720908776</v>
      </c>
      <c r="AM477">
        <f t="shared" si="117"/>
        <v>1.0049339562515325</v>
      </c>
      <c r="AN477">
        <f t="shared" si="117"/>
        <v>0.99697932713045889</v>
      </c>
      <c r="AO477">
        <f t="shared" si="117"/>
        <v>1.2669643323964466</v>
      </c>
      <c r="AP477">
        <f t="shared" si="117"/>
        <v>1.0588094153669032</v>
      </c>
      <c r="AQ477">
        <f t="shared" si="117"/>
        <v>1.0111739315963464</v>
      </c>
      <c r="AR477">
        <f t="shared" si="117"/>
        <v>1.0552379723726821</v>
      </c>
      <c r="AS477">
        <f t="shared" si="117"/>
        <v>1.0018547289427182</v>
      </c>
      <c r="AT477">
        <f t="shared" si="117"/>
        <v>1.0991426568113063</v>
      </c>
      <c r="AU477">
        <f t="shared" si="117"/>
        <v>0.98683248268473545</v>
      </c>
      <c r="AV477">
        <f t="shared" si="117"/>
        <v>1.0093059686339427</v>
      </c>
      <c r="AW477">
        <f t="shared" si="117"/>
        <v>0.97307313825878439</v>
      </c>
      <c r="AX477">
        <f t="shared" si="117"/>
        <v>1.0046375780532226</v>
      </c>
      <c r="AY477">
        <f t="shared" si="117"/>
        <v>0.93983793941439031</v>
      </c>
      <c r="AZ477">
        <f t="shared" si="117"/>
        <v>0</v>
      </c>
      <c r="BA477">
        <f t="shared" si="117"/>
        <v>0.84097401858596499</v>
      </c>
      <c r="BB477">
        <f t="shared" si="117"/>
        <v>1.0794303781715393</v>
      </c>
      <c r="BC477">
        <f t="shared" si="117"/>
        <v>0.98386064828416897</v>
      </c>
      <c r="BD477">
        <f t="shared" si="117"/>
        <v>1.0223609230451656</v>
      </c>
    </row>
    <row r="478" spans="1:56" x14ac:dyDescent="0.2">
      <c r="A478">
        <v>52</v>
      </c>
      <c r="B478">
        <f t="shared" ref="B478:BD478" si="118">1-B422</f>
        <v>0.94465909377236623</v>
      </c>
      <c r="C478">
        <f t="shared" si="118"/>
        <v>1.0940072741403044</v>
      </c>
      <c r="D478">
        <f t="shared" si="118"/>
        <v>0.9992269159587609</v>
      </c>
      <c r="E478">
        <f t="shared" si="118"/>
        <v>0.92850609586381727</v>
      </c>
      <c r="F478">
        <f t="shared" si="118"/>
        <v>1.1497957487927795</v>
      </c>
      <c r="G478">
        <f t="shared" si="118"/>
        <v>1.1405110185033698</v>
      </c>
      <c r="H478">
        <f t="shared" si="118"/>
        <v>1.0516447709539105</v>
      </c>
      <c r="I478">
        <f t="shared" si="118"/>
        <v>1.189392778834865</v>
      </c>
      <c r="J478">
        <f t="shared" si="118"/>
        <v>1.0212629562276436</v>
      </c>
      <c r="K478">
        <f t="shared" si="118"/>
        <v>0.99167151077087434</v>
      </c>
      <c r="L478">
        <f t="shared" si="118"/>
        <v>1.0108441481139547</v>
      </c>
      <c r="M478">
        <f t="shared" si="118"/>
        <v>1.0822593966009695</v>
      </c>
      <c r="N478">
        <f t="shared" si="118"/>
        <v>1.0655557946482999</v>
      </c>
      <c r="O478">
        <f t="shared" si="118"/>
        <v>1.0899348921765191</v>
      </c>
      <c r="P478">
        <f t="shared" si="118"/>
        <v>0.98584522586381418</v>
      </c>
      <c r="Q478">
        <f t="shared" si="118"/>
        <v>0.91383700771616272</v>
      </c>
      <c r="R478">
        <f t="shared" si="118"/>
        <v>0.98180650928340685</v>
      </c>
      <c r="S478">
        <f t="shared" si="118"/>
        <v>0.95757066017699521</v>
      </c>
      <c r="T478">
        <f t="shared" si="118"/>
        <v>1.0218689872517035</v>
      </c>
      <c r="U478">
        <f t="shared" si="118"/>
        <v>0.9929996231684376</v>
      </c>
      <c r="V478">
        <f t="shared" si="118"/>
        <v>0.95300422127791162</v>
      </c>
      <c r="W478">
        <f t="shared" si="118"/>
        <v>1.0259869679909126</v>
      </c>
      <c r="X478">
        <f t="shared" si="118"/>
        <v>1.078618277039546</v>
      </c>
      <c r="Y478">
        <f t="shared" si="118"/>
        <v>0.92866218486716434</v>
      </c>
      <c r="Z478">
        <f t="shared" si="118"/>
        <v>0.90875639250251528</v>
      </c>
      <c r="AA478">
        <f t="shared" si="118"/>
        <v>0.95139010586469963</v>
      </c>
      <c r="AB478">
        <f t="shared" si="118"/>
        <v>1.0992563073456845</v>
      </c>
      <c r="AC478">
        <f t="shared" si="118"/>
        <v>1.0191480192744244</v>
      </c>
      <c r="AD478">
        <f t="shared" si="118"/>
        <v>1.0877957464785215</v>
      </c>
      <c r="AE478">
        <f t="shared" si="118"/>
        <v>1.002176267701931</v>
      </c>
      <c r="AF478">
        <f t="shared" si="118"/>
        <v>1.0332071873189941</v>
      </c>
      <c r="AG478">
        <f t="shared" si="118"/>
        <v>1.0158947034351575</v>
      </c>
      <c r="AH478">
        <f t="shared" si="118"/>
        <v>0.90230173913507472</v>
      </c>
      <c r="AI478">
        <f t="shared" si="118"/>
        <v>0.93008163882776007</v>
      </c>
      <c r="AJ478">
        <f t="shared" si="118"/>
        <v>1.0203871257532069</v>
      </c>
      <c r="AK478">
        <f t="shared" si="118"/>
        <v>0.99444326933671623</v>
      </c>
      <c r="AL478">
        <f t="shared" si="118"/>
        <v>0.98994040771869618</v>
      </c>
      <c r="AM478">
        <f t="shared" si="118"/>
        <v>0.82390971868602603</v>
      </c>
      <c r="AN478">
        <f t="shared" si="118"/>
        <v>0.82389228938658277</v>
      </c>
      <c r="AO478">
        <f t="shared" si="118"/>
        <v>0.96616629478718263</v>
      </c>
      <c r="AP478">
        <f t="shared" si="118"/>
        <v>0.99444024258203723</v>
      </c>
      <c r="AQ478">
        <f t="shared" si="118"/>
        <v>1.0056093765980081</v>
      </c>
      <c r="AR478">
        <f t="shared" si="118"/>
        <v>0.94882869697961225</v>
      </c>
      <c r="AS478">
        <f t="shared" si="118"/>
        <v>0.97977230200399379</v>
      </c>
      <c r="AT478">
        <f t="shared" si="118"/>
        <v>1.0296472737771409</v>
      </c>
      <c r="AU478">
        <f t="shared" si="118"/>
        <v>1.0076475854634022</v>
      </c>
      <c r="AV478">
        <f t="shared" si="118"/>
        <v>0.99185034759748181</v>
      </c>
      <c r="AW478">
        <f t="shared" si="118"/>
        <v>0.9967283844976097</v>
      </c>
      <c r="AX478">
        <f t="shared" si="118"/>
        <v>1.1557509553626095</v>
      </c>
      <c r="AY478">
        <f t="shared" si="118"/>
        <v>1.0437713595008788</v>
      </c>
      <c r="AZ478">
        <f t="shared" si="118"/>
        <v>0.84097401858596499</v>
      </c>
      <c r="BA478">
        <f t="shared" si="118"/>
        <v>0</v>
      </c>
      <c r="BB478">
        <f t="shared" si="118"/>
        <v>0.96607100706349325</v>
      </c>
      <c r="BC478">
        <f t="shared" si="118"/>
        <v>0.8981753958249149</v>
      </c>
      <c r="BD478">
        <f t="shared" si="118"/>
        <v>0.94790427257188259</v>
      </c>
    </row>
    <row r="479" spans="1:56" x14ac:dyDescent="0.2">
      <c r="A479">
        <v>53</v>
      </c>
      <c r="B479">
        <f t="shared" ref="B479:BD479" si="119">1-B423</f>
        <v>0.60121114659027641</v>
      </c>
      <c r="C479">
        <f t="shared" si="119"/>
        <v>0.44894657506159397</v>
      </c>
      <c r="D479">
        <f t="shared" si="119"/>
        <v>0.44583245307828323</v>
      </c>
      <c r="E479">
        <f t="shared" si="119"/>
        <v>0.99783865011180395</v>
      </c>
      <c r="F479">
        <f t="shared" si="119"/>
        <v>0.75315370003452309</v>
      </c>
      <c r="G479">
        <f t="shared" si="119"/>
        <v>0.78726855026858156</v>
      </c>
      <c r="H479">
        <f t="shared" si="119"/>
        <v>1.0503568716498171</v>
      </c>
      <c r="I479">
        <f t="shared" si="119"/>
        <v>0.76468688611076863</v>
      </c>
      <c r="J479">
        <f t="shared" si="119"/>
        <v>0.45690684775757229</v>
      </c>
      <c r="K479">
        <f t="shared" si="119"/>
        <v>0.51215772067226972</v>
      </c>
      <c r="L479">
        <f t="shared" si="119"/>
        <v>0.61715278308955668</v>
      </c>
      <c r="M479">
        <f t="shared" si="119"/>
        <v>0.97777721659926753</v>
      </c>
      <c r="N479">
        <f t="shared" si="119"/>
        <v>0.9841769454223358</v>
      </c>
      <c r="O479">
        <f t="shared" si="119"/>
        <v>0.97825189135171198</v>
      </c>
      <c r="P479">
        <f t="shared" si="119"/>
        <v>0.5227619018426507</v>
      </c>
      <c r="Q479">
        <f t="shared" si="119"/>
        <v>0.59473134886681822</v>
      </c>
      <c r="R479">
        <f t="shared" si="119"/>
        <v>0.54701061888096469</v>
      </c>
      <c r="S479">
        <f t="shared" si="119"/>
        <v>0.49394274207206035</v>
      </c>
      <c r="T479">
        <f t="shared" si="119"/>
        <v>0.42732140239947036</v>
      </c>
      <c r="U479">
        <f t="shared" si="119"/>
        <v>0.70379754482467294</v>
      </c>
      <c r="V479">
        <f t="shared" si="119"/>
        <v>0.45040367213440347</v>
      </c>
      <c r="W479">
        <f t="shared" si="119"/>
        <v>0.58466007412887477</v>
      </c>
      <c r="X479">
        <f t="shared" si="119"/>
        <v>0.61111649103784393</v>
      </c>
      <c r="Y479">
        <f t="shared" si="119"/>
        <v>0.58618222262752573</v>
      </c>
      <c r="Z479">
        <f t="shared" si="119"/>
        <v>0.56548004806927332</v>
      </c>
      <c r="AA479">
        <f t="shared" si="119"/>
        <v>0.43511628641551547</v>
      </c>
      <c r="AB479">
        <f t="shared" si="119"/>
        <v>1.1787082010066954</v>
      </c>
      <c r="AC479">
        <f t="shared" si="119"/>
        <v>0.60613919227760737</v>
      </c>
      <c r="AD479">
        <f t="shared" si="119"/>
        <v>1.019501106996372</v>
      </c>
      <c r="AE479">
        <f t="shared" si="119"/>
        <v>0.55814776181714632</v>
      </c>
      <c r="AF479">
        <f t="shared" si="119"/>
        <v>0.68681373563982862</v>
      </c>
      <c r="AG479">
        <f t="shared" si="119"/>
        <v>0.72800875534321263</v>
      </c>
      <c r="AH479">
        <f t="shared" si="119"/>
        <v>0.68045958488631997</v>
      </c>
      <c r="AI479">
        <f t="shared" si="119"/>
        <v>0.67567845813327487</v>
      </c>
      <c r="AJ479">
        <f t="shared" si="119"/>
        <v>0.47686106020452979</v>
      </c>
      <c r="AK479">
        <f t="shared" si="119"/>
        <v>0.74280249789175534</v>
      </c>
      <c r="AL479">
        <f t="shared" si="119"/>
        <v>0.72252098557309963</v>
      </c>
      <c r="AM479">
        <f t="shared" si="119"/>
        <v>0.79422203118564705</v>
      </c>
      <c r="AN479">
        <f t="shared" si="119"/>
        <v>0.79448949744477559</v>
      </c>
      <c r="AO479">
        <f t="shared" si="119"/>
        <v>0.95175402952303156</v>
      </c>
      <c r="AP479">
        <f t="shared" si="119"/>
        <v>0.69624614414671515</v>
      </c>
      <c r="AQ479">
        <f t="shared" si="119"/>
        <v>0.56992010039537644</v>
      </c>
      <c r="AR479">
        <f t="shared" si="119"/>
        <v>0.5058248036873445</v>
      </c>
      <c r="AS479">
        <f t="shared" si="119"/>
        <v>0.46908104525039407</v>
      </c>
      <c r="AT479">
        <f t="shared" si="119"/>
        <v>0.49810223606735882</v>
      </c>
      <c r="AU479">
        <f t="shared" si="119"/>
        <v>0.95625989330583927</v>
      </c>
      <c r="AV479">
        <f t="shared" si="119"/>
        <v>0.97922652402215959</v>
      </c>
      <c r="AW479">
        <f t="shared" si="119"/>
        <v>0.45276482557248265</v>
      </c>
      <c r="AX479">
        <f t="shared" si="119"/>
        <v>0.78300881127208011</v>
      </c>
      <c r="AY479">
        <f t="shared" si="119"/>
        <v>1.0029800755412137</v>
      </c>
      <c r="AZ479">
        <f t="shared" si="119"/>
        <v>1.0794303781715393</v>
      </c>
      <c r="BA479">
        <f t="shared" si="119"/>
        <v>0.96607100706349325</v>
      </c>
      <c r="BB479">
        <f t="shared" si="119"/>
        <v>0</v>
      </c>
      <c r="BC479">
        <f t="shared" si="119"/>
        <v>0.58564542181628887</v>
      </c>
      <c r="BD479">
        <f t="shared" si="119"/>
        <v>0.24315626754552067</v>
      </c>
    </row>
    <row r="480" spans="1:56" x14ac:dyDescent="0.2">
      <c r="A480">
        <v>54</v>
      </c>
      <c r="B480">
        <f t="shared" ref="B480:BD480" si="120">1-B424</f>
        <v>0.59516911735726019</v>
      </c>
      <c r="C480">
        <f t="shared" si="120"/>
        <v>0.64751619629344925</v>
      </c>
      <c r="D480">
        <f t="shared" si="120"/>
        <v>0.50175539459945562</v>
      </c>
      <c r="E480">
        <f t="shared" si="120"/>
        <v>0.88813423427899274</v>
      </c>
      <c r="F480">
        <f t="shared" si="120"/>
        <v>1.0480033741855865</v>
      </c>
      <c r="G480">
        <f t="shared" si="120"/>
        <v>0.88151521222809648</v>
      </c>
      <c r="H480">
        <f t="shared" si="120"/>
        <v>1.0010600402625129</v>
      </c>
      <c r="I480">
        <f t="shared" si="120"/>
        <v>0.91748575496109486</v>
      </c>
      <c r="J480">
        <f t="shared" si="120"/>
        <v>0.67097011289631958</v>
      </c>
      <c r="K480">
        <f t="shared" si="120"/>
        <v>0.55995804307028252</v>
      </c>
      <c r="L480">
        <f t="shared" si="120"/>
        <v>0.75851427266893401</v>
      </c>
      <c r="M480">
        <f t="shared" si="120"/>
        <v>0.91319220934139855</v>
      </c>
      <c r="N480">
        <f t="shared" si="120"/>
        <v>0.88905232686800495</v>
      </c>
      <c r="O480">
        <f t="shared" si="120"/>
        <v>0.9575319493756913</v>
      </c>
      <c r="P480">
        <f t="shared" si="120"/>
        <v>0.63782052546316081</v>
      </c>
      <c r="Q480">
        <f t="shared" si="120"/>
        <v>0.84311043673235186</v>
      </c>
      <c r="R480">
        <f t="shared" si="120"/>
        <v>0.71266194043103404</v>
      </c>
      <c r="S480">
        <f t="shared" si="120"/>
        <v>0.48693593946497926</v>
      </c>
      <c r="T480">
        <f t="shared" si="120"/>
        <v>0.67559115484423138</v>
      </c>
      <c r="U480">
        <f t="shared" si="120"/>
        <v>0.67815987526359023</v>
      </c>
      <c r="V480">
        <f t="shared" si="120"/>
        <v>0.45251593001492385</v>
      </c>
      <c r="W480">
        <f t="shared" si="120"/>
        <v>0.64416663365911553</v>
      </c>
      <c r="X480">
        <f t="shared" si="120"/>
        <v>0.73810378364143614</v>
      </c>
      <c r="Y480">
        <f t="shared" si="120"/>
        <v>0.63833845412347312</v>
      </c>
      <c r="Z480">
        <f t="shared" si="120"/>
        <v>0.71493611467603269</v>
      </c>
      <c r="AA480">
        <f t="shared" si="120"/>
        <v>0.44928632371090327</v>
      </c>
      <c r="AB480">
        <f t="shared" si="120"/>
        <v>1.1350425081991879</v>
      </c>
      <c r="AC480">
        <f t="shared" si="120"/>
        <v>0.69398509768894723</v>
      </c>
      <c r="AD480">
        <f t="shared" si="120"/>
        <v>0.98187800254128976</v>
      </c>
      <c r="AE480">
        <f t="shared" si="120"/>
        <v>0.79407239163925569</v>
      </c>
      <c r="AF480">
        <f t="shared" si="120"/>
        <v>0.65683542359172742</v>
      </c>
      <c r="AG480">
        <f t="shared" si="120"/>
        <v>0.84831349742113604</v>
      </c>
      <c r="AH480">
        <f t="shared" si="120"/>
        <v>0.71283356881114968</v>
      </c>
      <c r="AI480">
        <f t="shared" si="120"/>
        <v>0.63573643849990491</v>
      </c>
      <c r="AJ480">
        <f t="shared" si="120"/>
        <v>0.42081722133709265</v>
      </c>
      <c r="AK480">
        <f t="shared" si="120"/>
        <v>0.66289405325181838</v>
      </c>
      <c r="AL480">
        <f t="shared" si="120"/>
        <v>0.82501588437768225</v>
      </c>
      <c r="AM480">
        <f t="shared" si="120"/>
        <v>0.51487354984409262</v>
      </c>
      <c r="AN480">
        <f t="shared" si="120"/>
        <v>0.5155605066898088</v>
      </c>
      <c r="AO480">
        <f t="shared" si="120"/>
        <v>0.91788277462543344</v>
      </c>
      <c r="AP480">
        <f t="shared" si="120"/>
        <v>0.81921258532627927</v>
      </c>
      <c r="AQ480">
        <f t="shared" si="120"/>
        <v>0.83202538439438756</v>
      </c>
      <c r="AR480">
        <f t="shared" si="120"/>
        <v>0.69151843997422002</v>
      </c>
      <c r="AS480">
        <f t="shared" si="120"/>
        <v>0.62946363000309835</v>
      </c>
      <c r="AT480">
        <f t="shared" si="120"/>
        <v>0.56296827606391742</v>
      </c>
      <c r="AU480">
        <f t="shared" si="120"/>
        <v>1.0041123630163316</v>
      </c>
      <c r="AV480">
        <f t="shared" si="120"/>
        <v>1.0063890708683958</v>
      </c>
      <c r="AW480">
        <f t="shared" si="120"/>
        <v>0.54371912555949409</v>
      </c>
      <c r="AX480">
        <f t="shared" si="120"/>
        <v>0.87452780727853474</v>
      </c>
      <c r="AY480">
        <f t="shared" si="120"/>
        <v>1.0415963109395201</v>
      </c>
      <c r="AZ480">
        <f t="shared" si="120"/>
        <v>0.98386064828416897</v>
      </c>
      <c r="BA480">
        <f t="shared" si="120"/>
        <v>0.8981753958249149</v>
      </c>
      <c r="BB480">
        <f t="shared" si="120"/>
        <v>0.58564542181628887</v>
      </c>
      <c r="BC480">
        <f t="shared" si="120"/>
        <v>0</v>
      </c>
      <c r="BD480">
        <f t="shared" si="120"/>
        <v>0.3107600771818515</v>
      </c>
    </row>
    <row r="481" spans="1:56" x14ac:dyDescent="0.2">
      <c r="A481">
        <v>55</v>
      </c>
      <c r="B481">
        <f t="shared" ref="B481:BD481" si="121">1-B425</f>
        <v>0.23118346439721849</v>
      </c>
      <c r="C481">
        <f t="shared" si="121"/>
        <v>0.24606044155128415</v>
      </c>
      <c r="D481">
        <f t="shared" si="121"/>
        <v>0.3956255124067557</v>
      </c>
      <c r="E481">
        <f t="shared" si="121"/>
        <v>0.39727197065153963</v>
      </c>
      <c r="F481">
        <f t="shared" si="121"/>
        <v>1.5471091957260068</v>
      </c>
      <c r="G481">
        <f t="shared" si="121"/>
        <v>0.81944919632116675</v>
      </c>
      <c r="H481">
        <f t="shared" si="121"/>
        <v>0.94614601367942541</v>
      </c>
      <c r="I481">
        <f t="shared" si="121"/>
        <v>0.83669222899239837</v>
      </c>
      <c r="J481">
        <f t="shared" si="121"/>
        <v>0.40724632695787388</v>
      </c>
      <c r="K481">
        <f t="shared" si="121"/>
        <v>0.40931492209017983</v>
      </c>
      <c r="L481">
        <f t="shared" si="121"/>
        <v>0.32183312403789321</v>
      </c>
      <c r="M481">
        <f t="shared" si="121"/>
        <v>0.95630697969398326</v>
      </c>
      <c r="N481">
        <f t="shared" si="121"/>
        <v>0.9798678765146468</v>
      </c>
      <c r="O481">
        <f t="shared" si="121"/>
        <v>1.0214116863470533</v>
      </c>
      <c r="P481">
        <f t="shared" si="121"/>
        <v>0.18241305568226251</v>
      </c>
      <c r="Q481">
        <f t="shared" si="121"/>
        <v>0.64592039915632216</v>
      </c>
      <c r="R481">
        <f t="shared" si="121"/>
        <v>0.19788341157456124</v>
      </c>
      <c r="S481">
        <f t="shared" si="121"/>
        <v>0.22880749723131899</v>
      </c>
      <c r="T481">
        <f t="shared" si="121"/>
        <v>0.32392066735830904</v>
      </c>
      <c r="U481">
        <f t="shared" si="121"/>
        <v>0.41795883181337978</v>
      </c>
      <c r="V481">
        <f t="shared" si="121"/>
        <v>0.12198425248910816</v>
      </c>
      <c r="W481">
        <f t="shared" si="121"/>
        <v>0.38938049564750288</v>
      </c>
      <c r="X481">
        <f t="shared" si="121"/>
        <v>0.39828787946297428</v>
      </c>
      <c r="Y481">
        <f t="shared" si="121"/>
        <v>0.24695441886382963</v>
      </c>
      <c r="Z481">
        <f t="shared" si="121"/>
        <v>0.22791089693468547</v>
      </c>
      <c r="AA481">
        <f t="shared" si="121"/>
        <v>0.11726979891974154</v>
      </c>
      <c r="AB481">
        <f t="shared" si="121"/>
        <v>1.0880200394734028</v>
      </c>
      <c r="AC481">
        <f t="shared" si="121"/>
        <v>0.18219054603747287</v>
      </c>
      <c r="AD481">
        <f t="shared" si="121"/>
        <v>0.73917229969738285</v>
      </c>
      <c r="AE481">
        <f t="shared" si="121"/>
        <v>0.76281539223815564</v>
      </c>
      <c r="AF481">
        <f t="shared" si="121"/>
        <v>0.34303706430894321</v>
      </c>
      <c r="AG481">
        <f t="shared" si="121"/>
        <v>0.8389329938049741</v>
      </c>
      <c r="AH481">
        <f t="shared" si="121"/>
        <v>0.46840677188839996</v>
      </c>
      <c r="AI481">
        <f t="shared" si="121"/>
        <v>0.24088904276446466</v>
      </c>
      <c r="AJ481">
        <f t="shared" si="121"/>
        <v>0.38465519656007918</v>
      </c>
      <c r="AK481">
        <f t="shared" si="121"/>
        <v>0.23090244934319804</v>
      </c>
      <c r="AL481">
        <f t="shared" si="121"/>
        <v>0.3917061282086377</v>
      </c>
      <c r="AM481">
        <f t="shared" si="121"/>
        <v>0.18712567417097059</v>
      </c>
      <c r="AN481">
        <f t="shared" si="121"/>
        <v>0.18418497646008247</v>
      </c>
      <c r="AO481">
        <f t="shared" si="121"/>
        <v>1.0069431158448812</v>
      </c>
      <c r="AP481">
        <f t="shared" si="121"/>
        <v>0.95211328157240827</v>
      </c>
      <c r="AQ481">
        <f t="shared" si="121"/>
        <v>0.40291622759108692</v>
      </c>
      <c r="AR481">
        <f t="shared" si="121"/>
        <v>0.53406403736498231</v>
      </c>
      <c r="AS481">
        <f t="shared" si="121"/>
        <v>0.42816345575302583</v>
      </c>
      <c r="AT481">
        <f t="shared" si="121"/>
        <v>0.35678293879692835</v>
      </c>
      <c r="AU481">
        <f t="shared" si="121"/>
        <v>0.55920040720357655</v>
      </c>
      <c r="AV481">
        <f t="shared" si="121"/>
        <v>1.0785001356676436</v>
      </c>
      <c r="AW481">
        <f t="shared" si="121"/>
        <v>0.43121920606039554</v>
      </c>
      <c r="AX481">
        <f t="shared" si="121"/>
        <v>0.82025865045992008</v>
      </c>
      <c r="AY481">
        <f t="shared" si="121"/>
        <v>1.4324271180482355</v>
      </c>
      <c r="AZ481">
        <f t="shared" si="121"/>
        <v>1.0223609230451656</v>
      </c>
      <c r="BA481">
        <f t="shared" si="121"/>
        <v>0.94790427257188259</v>
      </c>
      <c r="BB481">
        <f t="shared" si="121"/>
        <v>0.24315626754552067</v>
      </c>
      <c r="BC481">
        <f t="shared" si="121"/>
        <v>0.3107600771818515</v>
      </c>
      <c r="BD481">
        <f t="shared" si="121"/>
        <v>0</v>
      </c>
    </row>
    <row r="482" spans="1:56" x14ac:dyDescent="0.2">
      <c r="A482">
        <f>SUM(B482:BD482)</f>
        <v>44.532261923700716</v>
      </c>
      <c r="B482">
        <f>AVERAGE(B427:B481)</f>
        <v>0.72796719230002871</v>
      </c>
      <c r="C482">
        <f t="shared" ref="C482:BD482" si="122">AVERAGE(C427:C481)</f>
        <v>0.73900712232669241</v>
      </c>
      <c r="D482">
        <f t="shared" si="122"/>
        <v>0.69968456697540216</v>
      </c>
      <c r="E482">
        <f t="shared" si="122"/>
        <v>0.88125066721537404</v>
      </c>
      <c r="F482">
        <f t="shared" si="122"/>
        <v>0.9591580244920066</v>
      </c>
      <c r="G482">
        <f t="shared" si="122"/>
        <v>0.86833633845794111</v>
      </c>
      <c r="H482">
        <f t="shared" si="122"/>
        <v>0.98291097588575038</v>
      </c>
      <c r="I482">
        <f t="shared" si="122"/>
        <v>0.86217751343542037</v>
      </c>
      <c r="J482">
        <f t="shared" si="122"/>
        <v>0.72060833140333513</v>
      </c>
      <c r="K482">
        <f t="shared" si="122"/>
        <v>0.6941812043200084</v>
      </c>
      <c r="L482">
        <f t="shared" si="122"/>
        <v>0.79462653447850817</v>
      </c>
      <c r="M482">
        <f t="shared" si="122"/>
        <v>0.92558424898490577</v>
      </c>
      <c r="N482">
        <f t="shared" si="122"/>
        <v>0.93966967052264661</v>
      </c>
      <c r="O482">
        <f t="shared" si="122"/>
        <v>0.95300587718126972</v>
      </c>
      <c r="P482">
        <f t="shared" si="122"/>
        <v>0.72122635364853982</v>
      </c>
      <c r="Q482">
        <f t="shared" si="122"/>
        <v>0.79642375073236182</v>
      </c>
      <c r="R482">
        <f t="shared" si="122"/>
        <v>0.76615460841524896</v>
      </c>
      <c r="S482">
        <f t="shared" si="122"/>
        <v>0.63566441169605781</v>
      </c>
      <c r="T482">
        <f t="shared" si="122"/>
        <v>0.72267648995860612</v>
      </c>
      <c r="U482">
        <f t="shared" si="122"/>
        <v>0.82967009451700768</v>
      </c>
      <c r="V482">
        <f t="shared" si="122"/>
        <v>0.65492843308587601</v>
      </c>
      <c r="W482">
        <f t="shared" si="122"/>
        <v>0.7655785897845967</v>
      </c>
      <c r="X482">
        <f t="shared" si="122"/>
        <v>0.82776310633153105</v>
      </c>
      <c r="Y482">
        <f t="shared" si="122"/>
        <v>0.74830078584069037</v>
      </c>
      <c r="Z482">
        <f t="shared" si="122"/>
        <v>0.78112901617224939</v>
      </c>
      <c r="AA482">
        <f t="shared" si="122"/>
        <v>0.65810791944927249</v>
      </c>
      <c r="AB482">
        <f t="shared" si="122"/>
        <v>1.0762978279726205</v>
      </c>
      <c r="AC482">
        <f t="shared" si="122"/>
        <v>0.74892857725035999</v>
      </c>
      <c r="AD482">
        <f t="shared" si="122"/>
        <v>0.92133307305044498</v>
      </c>
      <c r="AE482">
        <f t="shared" si="122"/>
        <v>0.81207496867900419</v>
      </c>
      <c r="AF482">
        <f t="shared" si="122"/>
        <v>0.77688035475739536</v>
      </c>
      <c r="AG482">
        <f t="shared" si="122"/>
        <v>0.84703192160708796</v>
      </c>
      <c r="AH482">
        <f t="shared" si="122"/>
        <v>0.80304546354929329</v>
      </c>
      <c r="AI482">
        <f t="shared" si="122"/>
        <v>0.77596513863628536</v>
      </c>
      <c r="AJ482">
        <f t="shared" si="122"/>
        <v>0.66961874907848873</v>
      </c>
      <c r="AK482">
        <f t="shared" si="122"/>
        <v>0.777903164501623</v>
      </c>
      <c r="AL482">
        <f t="shared" si="122"/>
        <v>0.84718005298319887</v>
      </c>
      <c r="AM482">
        <f t="shared" si="122"/>
        <v>0.77925596994904744</v>
      </c>
      <c r="AN482">
        <f t="shared" si="122"/>
        <v>0.77965726688490899</v>
      </c>
      <c r="AO482">
        <f t="shared" si="122"/>
        <v>0.97432070944266069</v>
      </c>
      <c r="AP482">
        <f t="shared" si="122"/>
        <v>0.88278506813605984</v>
      </c>
      <c r="AQ482">
        <f t="shared" si="122"/>
        <v>0.82488390744800877</v>
      </c>
      <c r="AR482">
        <f t="shared" si="122"/>
        <v>0.76549888989102144</v>
      </c>
      <c r="AS482">
        <f t="shared" si="122"/>
        <v>0.72008684636098519</v>
      </c>
      <c r="AT482">
        <f t="shared" si="122"/>
        <v>0.69688008434565529</v>
      </c>
      <c r="AU482">
        <f t="shared" si="122"/>
        <v>0.94321468715122347</v>
      </c>
      <c r="AV482">
        <f t="shared" si="122"/>
        <v>0.95390194214395907</v>
      </c>
      <c r="AW482">
        <f t="shared" si="122"/>
        <v>0.68607752801353883</v>
      </c>
      <c r="AX482">
        <f t="shared" si="122"/>
        <v>0.85630174436399731</v>
      </c>
      <c r="AY482">
        <f t="shared" si="122"/>
        <v>1.0394834300748008</v>
      </c>
      <c r="AZ482">
        <f t="shared" si="122"/>
        <v>0.99310495610019944</v>
      </c>
      <c r="BA482">
        <f t="shared" si="122"/>
        <v>0.98137073621739446</v>
      </c>
      <c r="BB482">
        <f t="shared" si="122"/>
        <v>0.67821940041599149</v>
      </c>
      <c r="BC482">
        <f t="shared" si="122"/>
        <v>0.72729456009931337</v>
      </c>
      <c r="BD482">
        <f t="shared" si="122"/>
        <v>0.53787307698481979</v>
      </c>
    </row>
    <row r="483" spans="1:56" x14ac:dyDescent="0.2">
      <c r="B483">
        <f>B482/$A$482</f>
        <v>1.6346961974383654E-2</v>
      </c>
      <c r="C483">
        <f t="shared" ref="C483:BD483" si="123">C482/$A$482</f>
        <v>1.6594870559076231E-2</v>
      </c>
      <c r="D483">
        <f t="shared" si="123"/>
        <v>1.5711857802646667E-2</v>
      </c>
      <c r="E483">
        <f t="shared" si="123"/>
        <v>1.9789038983136845E-2</v>
      </c>
      <c r="F483">
        <f t="shared" si="123"/>
        <v>2.1538497777978997E-2</v>
      </c>
      <c r="G483">
        <f t="shared" si="123"/>
        <v>1.9499039593939869E-2</v>
      </c>
      <c r="H483">
        <f t="shared" si="123"/>
        <v>2.2071885267580152E-2</v>
      </c>
      <c r="I483">
        <f t="shared" si="123"/>
        <v>1.9360739297559843E-2</v>
      </c>
      <c r="J483">
        <f t="shared" si="123"/>
        <v>1.6181714116340829E-2</v>
      </c>
      <c r="K483">
        <f t="shared" si="123"/>
        <v>1.5588276326708549E-2</v>
      </c>
      <c r="L483">
        <f t="shared" si="123"/>
        <v>1.7843839503144492E-2</v>
      </c>
      <c r="M483">
        <f t="shared" si="123"/>
        <v>2.0784577495092302E-2</v>
      </c>
      <c r="N483">
        <f t="shared" si="123"/>
        <v>2.1100874510543124E-2</v>
      </c>
      <c r="O483">
        <f t="shared" si="123"/>
        <v>2.1400347433824515E-2</v>
      </c>
      <c r="P483">
        <f t="shared" si="123"/>
        <v>1.6195592195255026E-2</v>
      </c>
      <c r="Q483">
        <f t="shared" si="123"/>
        <v>1.7884197126499284E-2</v>
      </c>
      <c r="R483">
        <f t="shared" si="123"/>
        <v>1.7204484464048531E-2</v>
      </c>
      <c r="S483">
        <f t="shared" si="123"/>
        <v>1.4274244878582015E-2</v>
      </c>
      <c r="T483">
        <f t="shared" si="123"/>
        <v>1.6228155919786935E-2</v>
      </c>
      <c r="U483">
        <f t="shared" si="123"/>
        <v>1.8630764723752899E-2</v>
      </c>
      <c r="V483">
        <f t="shared" si="123"/>
        <v>1.470683061659874E-2</v>
      </c>
      <c r="W483">
        <f t="shared" si="123"/>
        <v>1.7191549602764387E-2</v>
      </c>
      <c r="X483">
        <f t="shared" si="123"/>
        <v>1.8587942102509362E-2</v>
      </c>
      <c r="Y483">
        <f t="shared" si="123"/>
        <v>1.680356562895436E-2</v>
      </c>
      <c r="Z483">
        <f t="shared" si="123"/>
        <v>1.7540744225177596E-2</v>
      </c>
      <c r="AA483">
        <f t="shared" si="123"/>
        <v>1.4778227986192138E-2</v>
      </c>
      <c r="AB483">
        <f t="shared" si="123"/>
        <v>2.41689458715727E-2</v>
      </c>
      <c r="AC483">
        <f t="shared" si="123"/>
        <v>1.6817663080611885E-2</v>
      </c>
      <c r="AD483">
        <f t="shared" si="123"/>
        <v>2.0689114660939738E-2</v>
      </c>
      <c r="AE483">
        <f t="shared" si="123"/>
        <v>1.8235655086875479E-2</v>
      </c>
      <c r="AF483">
        <f t="shared" si="123"/>
        <v>1.7445337856147127E-2</v>
      </c>
      <c r="AG483">
        <f t="shared" si="123"/>
        <v>1.9020635490250841E-2</v>
      </c>
      <c r="AH483">
        <f t="shared" si="123"/>
        <v>1.8032891859955151E-2</v>
      </c>
      <c r="AI483">
        <f t="shared" si="123"/>
        <v>1.7424786101496125E-2</v>
      </c>
      <c r="AJ483">
        <f t="shared" si="123"/>
        <v>1.503671091816039E-2</v>
      </c>
      <c r="AK483">
        <f t="shared" si="123"/>
        <v>1.7468305693396895E-2</v>
      </c>
      <c r="AL483">
        <f t="shared" si="123"/>
        <v>1.902396187363475E-2</v>
      </c>
      <c r="AM483">
        <f t="shared" si="123"/>
        <v>1.7498683792082793E-2</v>
      </c>
      <c r="AN483">
        <f t="shared" si="123"/>
        <v>1.7507695167623277E-2</v>
      </c>
      <c r="AO483">
        <f t="shared" si="123"/>
        <v>2.1878985422119621E-2</v>
      </c>
      <c r="AP483">
        <f t="shared" si="123"/>
        <v>1.9823494922592937E-2</v>
      </c>
      <c r="AQ483">
        <f t="shared" si="123"/>
        <v>1.8523287877479082E-2</v>
      </c>
      <c r="AR483">
        <f t="shared" si="123"/>
        <v>1.7189759891437534E-2</v>
      </c>
      <c r="AS483">
        <f t="shared" si="123"/>
        <v>1.6170003841142068E-2</v>
      </c>
      <c r="AT483">
        <f t="shared" si="123"/>
        <v>1.5648881378171487E-2</v>
      </c>
      <c r="AU483">
        <f t="shared" si="123"/>
        <v>2.1180480092551305E-2</v>
      </c>
      <c r="AV483">
        <f t="shared" si="123"/>
        <v>2.1420469137146583E-2</v>
      </c>
      <c r="AW483">
        <f t="shared" si="123"/>
        <v>1.5406303169352339E-2</v>
      </c>
      <c r="AX483">
        <f t="shared" si="123"/>
        <v>1.9228795200907166E-2</v>
      </c>
      <c r="AY483">
        <f t="shared" si="123"/>
        <v>2.3342255371079021E-2</v>
      </c>
      <c r="AZ483">
        <f t="shared" si="123"/>
        <v>2.2300797516230691E-2</v>
      </c>
      <c r="BA483">
        <f t="shared" si="123"/>
        <v>2.2037298215366301E-2</v>
      </c>
      <c r="BB483">
        <f t="shared" si="123"/>
        <v>1.5229843962968189E-2</v>
      </c>
      <c r="BC483">
        <f t="shared" si="123"/>
        <v>1.63318575945103E-2</v>
      </c>
      <c r="BD483">
        <f t="shared" si="123"/>
        <v>1.2078278842120883E-2</v>
      </c>
    </row>
    <row r="485" spans="1:56" x14ac:dyDescent="0.2">
      <c r="B485">
        <v>1.6346961974383654E-2</v>
      </c>
      <c r="C485">
        <v>1.6594870559076231E-2</v>
      </c>
      <c r="D485">
        <v>1.5711857802646667E-2</v>
      </c>
      <c r="E485">
        <v>1.9789038983136845E-2</v>
      </c>
      <c r="F485">
        <v>2.1538497777978997E-2</v>
      </c>
      <c r="G485">
        <v>1.9499039593939869E-2</v>
      </c>
      <c r="H485">
        <v>2.2071885267580152E-2</v>
      </c>
      <c r="I485">
        <v>1.9360739297559843E-2</v>
      </c>
      <c r="J485">
        <v>1.6181714116340829E-2</v>
      </c>
      <c r="K485">
        <v>1.5588276326708549E-2</v>
      </c>
      <c r="L485">
        <v>1.7843839503144492E-2</v>
      </c>
      <c r="M485">
        <v>2.0784577495092302E-2</v>
      </c>
      <c r="N485">
        <v>2.1100874510543124E-2</v>
      </c>
      <c r="O485">
        <v>2.1400347433824515E-2</v>
      </c>
      <c r="P485">
        <v>1.6195592195255026E-2</v>
      </c>
      <c r="Q485">
        <v>1.7884197126499284E-2</v>
      </c>
      <c r="R485">
        <v>1.7204484464048531E-2</v>
      </c>
      <c r="S485">
        <v>1.4274244878582015E-2</v>
      </c>
      <c r="T485">
        <v>1.6228155919786935E-2</v>
      </c>
      <c r="U485">
        <v>1.8630764723752899E-2</v>
      </c>
      <c r="V485">
        <v>1.470683061659874E-2</v>
      </c>
      <c r="W485">
        <v>1.7191549602764387E-2</v>
      </c>
      <c r="X485">
        <v>1.8587942102509362E-2</v>
      </c>
      <c r="Y485">
        <v>1.680356562895436E-2</v>
      </c>
      <c r="Z485">
        <v>1.7540744225177596E-2</v>
      </c>
      <c r="AA485">
        <v>1.4778227986192138E-2</v>
      </c>
      <c r="AB485">
        <v>2.41689458715727E-2</v>
      </c>
      <c r="AC485">
        <v>1.6817663080611885E-2</v>
      </c>
      <c r="AD485">
        <v>2.0689114660939738E-2</v>
      </c>
      <c r="AE485">
        <v>1.8235655086875479E-2</v>
      </c>
      <c r="AF485">
        <v>1.7445337856147127E-2</v>
      </c>
      <c r="AG485">
        <v>1.9020635490250841E-2</v>
      </c>
      <c r="AH485">
        <v>1.8032891859955151E-2</v>
      </c>
      <c r="AI485">
        <v>1.7424786101496125E-2</v>
      </c>
      <c r="AJ485">
        <v>1.503671091816039E-2</v>
      </c>
      <c r="AK485">
        <v>1.7468305693396895E-2</v>
      </c>
      <c r="AL485">
        <v>1.902396187363475E-2</v>
      </c>
      <c r="AM485">
        <v>1.7498683792082793E-2</v>
      </c>
      <c r="AN485">
        <v>1.7507695167623277E-2</v>
      </c>
      <c r="AO485">
        <v>2.1878985422119621E-2</v>
      </c>
      <c r="AP485">
        <v>1.9823494922592937E-2</v>
      </c>
      <c r="AQ485">
        <v>1.8523287877479082E-2</v>
      </c>
      <c r="AR485">
        <v>1.7189759891437534E-2</v>
      </c>
      <c r="AS485">
        <v>1.6170003841142068E-2</v>
      </c>
      <c r="AT485">
        <v>1.5648881378171487E-2</v>
      </c>
      <c r="AU485">
        <v>2.1180480092551305E-2</v>
      </c>
      <c r="AV485">
        <v>2.1420469137146583E-2</v>
      </c>
      <c r="AW485">
        <v>1.5406303169352339E-2</v>
      </c>
      <c r="AX485">
        <v>1.9228795200907166E-2</v>
      </c>
      <c r="AY485">
        <v>2.3342255371079021E-2</v>
      </c>
      <c r="AZ485">
        <v>2.2300797516230691E-2</v>
      </c>
      <c r="BA485">
        <v>2.2037298215366301E-2</v>
      </c>
      <c r="BB485">
        <v>1.5229843962968189E-2</v>
      </c>
      <c r="BC485">
        <v>1.63318575945103E-2</v>
      </c>
      <c r="BD485">
        <v>1.2078278842120883E-2</v>
      </c>
    </row>
    <row r="487" spans="1:56" x14ac:dyDescent="0.2">
      <c r="B487">
        <v>1.6346961974383654E-2</v>
      </c>
      <c r="C487" t="s">
        <v>0</v>
      </c>
    </row>
    <row r="488" spans="1:56" x14ac:dyDescent="0.2">
      <c r="B488">
        <v>1.6594870559076231E-2</v>
      </c>
      <c r="C488" t="s">
        <v>1</v>
      </c>
    </row>
    <row r="489" spans="1:56" x14ac:dyDescent="0.2">
      <c r="B489">
        <v>1.5711857802646667E-2</v>
      </c>
      <c r="C489" t="s">
        <v>2</v>
      </c>
    </row>
    <row r="490" spans="1:56" x14ac:dyDescent="0.2">
      <c r="B490">
        <v>1.9789038983136845E-2</v>
      </c>
      <c r="C490" t="s">
        <v>3</v>
      </c>
    </row>
    <row r="491" spans="1:56" x14ac:dyDescent="0.2">
      <c r="B491">
        <v>2.1538497777978997E-2</v>
      </c>
      <c r="C491" t="s">
        <v>4</v>
      </c>
    </row>
    <row r="492" spans="1:56" x14ac:dyDescent="0.2">
      <c r="B492">
        <v>1.9499039593939869E-2</v>
      </c>
      <c r="C492" t="s">
        <v>5</v>
      </c>
    </row>
    <row r="493" spans="1:56" x14ac:dyDescent="0.2">
      <c r="B493">
        <v>2.2071885267580152E-2</v>
      </c>
      <c r="C493" t="s">
        <v>6</v>
      </c>
    </row>
    <row r="494" spans="1:56" x14ac:dyDescent="0.2">
      <c r="B494">
        <v>1.9360739297559843E-2</v>
      </c>
      <c r="C494" t="s">
        <v>7</v>
      </c>
    </row>
    <row r="495" spans="1:56" x14ac:dyDescent="0.2">
      <c r="B495">
        <v>1.6181714116340829E-2</v>
      </c>
      <c r="C495" t="s">
        <v>8</v>
      </c>
    </row>
    <row r="496" spans="1:56" x14ac:dyDescent="0.2">
      <c r="B496">
        <v>1.5588276326708549E-2</v>
      </c>
      <c r="C496" t="s">
        <v>9</v>
      </c>
    </row>
    <row r="497" spans="2:3" x14ac:dyDescent="0.2">
      <c r="B497">
        <v>1.7843839503144492E-2</v>
      </c>
      <c r="C497" t="s">
        <v>10</v>
      </c>
    </row>
    <row r="498" spans="2:3" x14ac:dyDescent="0.2">
      <c r="B498">
        <v>2.0784577495092302E-2</v>
      </c>
      <c r="C498" t="s">
        <v>11</v>
      </c>
    </row>
    <row r="499" spans="2:3" x14ac:dyDescent="0.2">
      <c r="B499">
        <v>2.1100874510543124E-2</v>
      </c>
      <c r="C499" t="s">
        <v>12</v>
      </c>
    </row>
    <row r="500" spans="2:3" x14ac:dyDescent="0.2">
      <c r="B500">
        <v>2.1400347433824515E-2</v>
      </c>
      <c r="C500" t="s">
        <v>13</v>
      </c>
    </row>
    <row r="501" spans="2:3" x14ac:dyDescent="0.2">
      <c r="B501">
        <v>1.6195592195255026E-2</v>
      </c>
      <c r="C501" t="s">
        <v>14</v>
      </c>
    </row>
    <row r="502" spans="2:3" x14ac:dyDescent="0.2">
      <c r="B502">
        <v>1.7884197126499284E-2</v>
      </c>
      <c r="C502" t="s">
        <v>15</v>
      </c>
    </row>
    <row r="503" spans="2:3" x14ac:dyDescent="0.2">
      <c r="B503">
        <v>1.7204484464048531E-2</v>
      </c>
      <c r="C503" t="s">
        <v>16</v>
      </c>
    </row>
    <row r="504" spans="2:3" x14ac:dyDescent="0.2">
      <c r="B504">
        <v>1.4274244878582015E-2</v>
      </c>
      <c r="C504" t="s">
        <v>17</v>
      </c>
    </row>
    <row r="505" spans="2:3" x14ac:dyDescent="0.2">
      <c r="B505">
        <v>1.6228155919786935E-2</v>
      </c>
      <c r="C505" t="s">
        <v>18</v>
      </c>
    </row>
    <row r="506" spans="2:3" x14ac:dyDescent="0.2">
      <c r="B506">
        <v>1.8630764723752899E-2</v>
      </c>
      <c r="C506" t="s">
        <v>19</v>
      </c>
    </row>
    <row r="507" spans="2:3" x14ac:dyDescent="0.2">
      <c r="B507">
        <v>1.470683061659874E-2</v>
      </c>
      <c r="C507" t="s">
        <v>20</v>
      </c>
    </row>
    <row r="508" spans="2:3" x14ac:dyDescent="0.2">
      <c r="B508">
        <v>1.7191549602764387E-2</v>
      </c>
      <c r="C508" t="s">
        <v>21</v>
      </c>
    </row>
    <row r="509" spans="2:3" x14ac:dyDescent="0.2">
      <c r="B509">
        <v>1.8587942102509362E-2</v>
      </c>
      <c r="C509" t="s">
        <v>22</v>
      </c>
    </row>
    <row r="510" spans="2:3" x14ac:dyDescent="0.2">
      <c r="B510">
        <v>1.680356562895436E-2</v>
      </c>
      <c r="C510" t="s">
        <v>23</v>
      </c>
    </row>
    <row r="511" spans="2:3" x14ac:dyDescent="0.2">
      <c r="B511">
        <v>1.7540744225177596E-2</v>
      </c>
      <c r="C511" t="s">
        <v>24</v>
      </c>
    </row>
    <row r="512" spans="2:3" x14ac:dyDescent="0.2">
      <c r="B512">
        <v>1.4778227986192138E-2</v>
      </c>
      <c r="C512" t="s">
        <v>25</v>
      </c>
    </row>
    <row r="513" spans="2:3" x14ac:dyDescent="0.2">
      <c r="B513">
        <v>2.41689458715727E-2</v>
      </c>
      <c r="C513" t="s">
        <v>26</v>
      </c>
    </row>
    <row r="514" spans="2:3" x14ac:dyDescent="0.2">
      <c r="B514">
        <v>1.6817663080611885E-2</v>
      </c>
      <c r="C514" t="s">
        <v>27</v>
      </c>
    </row>
    <row r="515" spans="2:3" x14ac:dyDescent="0.2">
      <c r="B515">
        <v>2.0689114660939738E-2</v>
      </c>
      <c r="C515" t="s">
        <v>28</v>
      </c>
    </row>
    <row r="516" spans="2:3" x14ac:dyDescent="0.2">
      <c r="B516">
        <v>1.8235655086875479E-2</v>
      </c>
      <c r="C516" t="s">
        <v>29</v>
      </c>
    </row>
    <row r="517" spans="2:3" x14ac:dyDescent="0.2">
      <c r="B517">
        <v>1.7445337856147127E-2</v>
      </c>
      <c r="C517" t="s">
        <v>30</v>
      </c>
    </row>
    <row r="518" spans="2:3" x14ac:dyDescent="0.2">
      <c r="B518">
        <v>1.9020635490250841E-2</v>
      </c>
      <c r="C518" t="s">
        <v>31</v>
      </c>
    </row>
    <row r="519" spans="2:3" x14ac:dyDescent="0.2">
      <c r="B519">
        <v>1.8032891859955151E-2</v>
      </c>
      <c r="C519" t="s">
        <v>32</v>
      </c>
    </row>
    <row r="520" spans="2:3" x14ac:dyDescent="0.2">
      <c r="B520">
        <v>1.7424786101496125E-2</v>
      </c>
      <c r="C520" t="s">
        <v>33</v>
      </c>
    </row>
    <row r="521" spans="2:3" x14ac:dyDescent="0.2">
      <c r="B521">
        <v>1.503671091816039E-2</v>
      </c>
      <c r="C521" t="s">
        <v>34</v>
      </c>
    </row>
    <row r="522" spans="2:3" x14ac:dyDescent="0.2">
      <c r="B522">
        <v>1.7468305693396895E-2</v>
      </c>
      <c r="C522" t="s">
        <v>35</v>
      </c>
    </row>
    <row r="523" spans="2:3" x14ac:dyDescent="0.2">
      <c r="B523">
        <v>1.902396187363475E-2</v>
      </c>
      <c r="C523" t="s">
        <v>36</v>
      </c>
    </row>
    <row r="524" spans="2:3" x14ac:dyDescent="0.2">
      <c r="B524">
        <v>1.7498683792082793E-2</v>
      </c>
      <c r="C524" t="s">
        <v>37</v>
      </c>
    </row>
    <row r="525" spans="2:3" x14ac:dyDescent="0.2">
      <c r="B525">
        <v>1.7507695167623277E-2</v>
      </c>
      <c r="C525" t="s">
        <v>38</v>
      </c>
    </row>
    <row r="526" spans="2:3" x14ac:dyDescent="0.2">
      <c r="B526">
        <v>2.1878985422119621E-2</v>
      </c>
      <c r="C526" t="s">
        <v>39</v>
      </c>
    </row>
    <row r="527" spans="2:3" x14ac:dyDescent="0.2">
      <c r="B527">
        <v>1.9823494922592937E-2</v>
      </c>
      <c r="C527" t="s">
        <v>40</v>
      </c>
    </row>
    <row r="528" spans="2:3" x14ac:dyDescent="0.2">
      <c r="B528">
        <v>1.8523287877479082E-2</v>
      </c>
      <c r="C528" t="s">
        <v>41</v>
      </c>
    </row>
    <row r="529" spans="2:3" x14ac:dyDescent="0.2">
      <c r="B529">
        <v>1.7189759891437534E-2</v>
      </c>
      <c r="C529" t="s">
        <v>42</v>
      </c>
    </row>
    <row r="530" spans="2:3" x14ac:dyDescent="0.2">
      <c r="B530">
        <v>1.6170003841142068E-2</v>
      </c>
      <c r="C530" t="s">
        <v>43</v>
      </c>
    </row>
    <row r="531" spans="2:3" x14ac:dyDescent="0.2">
      <c r="B531">
        <v>1.5648881378171487E-2</v>
      </c>
      <c r="C531" t="s">
        <v>44</v>
      </c>
    </row>
    <row r="532" spans="2:3" x14ac:dyDescent="0.2">
      <c r="B532">
        <v>2.1180480092551305E-2</v>
      </c>
      <c r="C532" t="s">
        <v>45</v>
      </c>
    </row>
    <row r="533" spans="2:3" x14ac:dyDescent="0.2">
      <c r="B533">
        <v>2.1420469137146583E-2</v>
      </c>
      <c r="C533" t="s">
        <v>46</v>
      </c>
    </row>
    <row r="534" spans="2:3" x14ac:dyDescent="0.2">
      <c r="B534">
        <v>1.5406303169352339E-2</v>
      </c>
      <c r="C534" t="s">
        <v>47</v>
      </c>
    </row>
    <row r="535" spans="2:3" x14ac:dyDescent="0.2">
      <c r="B535">
        <v>1.9228795200907166E-2</v>
      </c>
      <c r="C535" t="s">
        <v>48</v>
      </c>
    </row>
    <row r="536" spans="2:3" x14ac:dyDescent="0.2">
      <c r="B536">
        <v>2.3342255371079021E-2</v>
      </c>
      <c r="C536" t="s">
        <v>49</v>
      </c>
    </row>
    <row r="537" spans="2:3" x14ac:dyDescent="0.2">
      <c r="B537">
        <v>2.2300797516230691E-2</v>
      </c>
      <c r="C537" t="s">
        <v>50</v>
      </c>
    </row>
    <row r="538" spans="2:3" x14ac:dyDescent="0.2">
      <c r="B538">
        <v>2.2037298215366301E-2</v>
      </c>
      <c r="C538" t="s">
        <v>51</v>
      </c>
    </row>
    <row r="539" spans="2:3" x14ac:dyDescent="0.2">
      <c r="B539">
        <v>1.5229843962968189E-2</v>
      </c>
      <c r="C539" t="s">
        <v>52</v>
      </c>
    </row>
    <row r="540" spans="2:3" x14ac:dyDescent="0.2">
      <c r="B540">
        <v>1.63318575945103E-2</v>
      </c>
      <c r="C540" t="s">
        <v>53</v>
      </c>
    </row>
    <row r="541" spans="2:3" x14ac:dyDescent="0.2">
      <c r="B541">
        <v>1.2078278842120883E-2</v>
      </c>
      <c r="C5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portfolio_pandl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Каир Сабиев</dc:creator>
  <cp:lastModifiedBy>Каир Сабиев</cp:lastModifiedBy>
  <dcterms:created xsi:type="dcterms:W3CDTF">2025-02-13T15:52:10Z</dcterms:created>
  <dcterms:modified xsi:type="dcterms:W3CDTF">2025-02-13T15:52:10Z</dcterms:modified>
</cp:coreProperties>
</file>