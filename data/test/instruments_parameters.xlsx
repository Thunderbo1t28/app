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ode\Systematic Trading\app\data\test\"/>
    </mc:Choice>
  </mc:AlternateContent>
  <xr:revisionPtr revIDLastSave="0" documentId="13_ncr:1_{DB8FEA66-0339-4DF8-8168-98C9543CA3EF}" xr6:coauthVersionLast="47" xr6:coauthVersionMax="47" xr10:uidLastSave="{00000000-0000-0000-0000-000000000000}"/>
  <bookViews>
    <workbookView xWindow="3645" yWindow="630" windowWidth="25005" windowHeight="136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71" i="1" l="1"/>
  <c r="P261" i="1"/>
  <c r="K261" i="1"/>
  <c r="O261" i="1"/>
  <c r="N261" i="1"/>
  <c r="L261" i="1"/>
  <c r="M261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2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1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<sst xmlns="http://schemas.openxmlformats.org/spreadsheetml/2006/main" count="798" uniqueCount="531">
  <si>
    <t>SECTYPE</t>
  </si>
  <si>
    <t>AE</t>
  </si>
  <si>
    <t>AF</t>
  </si>
  <si>
    <t>AK</t>
  </si>
  <si>
    <t>AL</t>
  </si>
  <si>
    <t>AN</t>
  </si>
  <si>
    <t>AR</t>
  </si>
  <si>
    <t>AS</t>
  </si>
  <si>
    <t>AU</t>
  </si>
  <si>
    <t>BB</t>
  </si>
  <si>
    <t>BD</t>
  </si>
  <si>
    <t>BM</t>
  </si>
  <si>
    <t>BN</t>
  </si>
  <si>
    <t>BR</t>
  </si>
  <si>
    <t>BS</t>
  </si>
  <si>
    <t>BY</t>
  </si>
  <si>
    <t>CA</t>
  </si>
  <si>
    <t>CC</t>
  </si>
  <si>
    <t>CE</t>
  </si>
  <si>
    <t>CF</t>
  </si>
  <si>
    <t>CH</t>
  </si>
  <si>
    <t>CM</t>
  </si>
  <si>
    <t>CN</t>
  </si>
  <si>
    <t>CR</t>
  </si>
  <si>
    <t>CS</t>
  </si>
  <si>
    <t>DJ</t>
  </si>
  <si>
    <t>DX</t>
  </si>
  <si>
    <t>EC</t>
  </si>
  <si>
    <t>ED</t>
  </si>
  <si>
    <t>EG</t>
  </si>
  <si>
    <t>EJ</t>
  </si>
  <si>
    <t>EM</t>
  </si>
  <si>
    <t>Eu</t>
  </si>
  <si>
    <t>EU</t>
  </si>
  <si>
    <t>FE</t>
  </si>
  <si>
    <t>FL</t>
  </si>
  <si>
    <t>FN</t>
  </si>
  <si>
    <t>FS</t>
  </si>
  <si>
    <t>GA</t>
  </si>
  <si>
    <t>GD</t>
  </si>
  <si>
    <t>GK</t>
  </si>
  <si>
    <t>GL</t>
  </si>
  <si>
    <t>GU</t>
  </si>
  <si>
    <t>GZ</t>
  </si>
  <si>
    <t>HK</t>
  </si>
  <si>
    <t>HO</t>
  </si>
  <si>
    <t>HS</t>
  </si>
  <si>
    <t>HY</t>
  </si>
  <si>
    <t>I2</t>
  </si>
  <si>
    <t>IM</t>
  </si>
  <si>
    <t>IP</t>
  </si>
  <si>
    <t>IR</t>
  </si>
  <si>
    <t>IS</t>
  </si>
  <si>
    <t>JP</t>
  </si>
  <si>
    <t>KM</t>
  </si>
  <si>
    <t>KZ</t>
  </si>
  <si>
    <t>LE</t>
  </si>
  <si>
    <t>LK</t>
  </si>
  <si>
    <t>MA</t>
  </si>
  <si>
    <t>MC</t>
  </si>
  <si>
    <t>ME</t>
  </si>
  <si>
    <t>MF</t>
  </si>
  <si>
    <t>MG</t>
  </si>
  <si>
    <t>MM</t>
  </si>
  <si>
    <t>MN</t>
  </si>
  <si>
    <t>MT</t>
  </si>
  <si>
    <t>MV</t>
  </si>
  <si>
    <t>MX</t>
  </si>
  <si>
    <t>MY</t>
  </si>
  <si>
    <t>N2</t>
  </si>
  <si>
    <t>NA</t>
  </si>
  <si>
    <t>NB</t>
  </si>
  <si>
    <t>NC</t>
  </si>
  <si>
    <t>NG</t>
  </si>
  <si>
    <t>NK</t>
  </si>
  <si>
    <t>NM</t>
  </si>
  <si>
    <t>NR</t>
  </si>
  <si>
    <t>OG</t>
  </si>
  <si>
    <t>PD</t>
  </si>
  <si>
    <t>PH</t>
  </si>
  <si>
    <t>PI</t>
  </si>
  <si>
    <t>PS</t>
  </si>
  <si>
    <t>PT</t>
  </si>
  <si>
    <t>PZ</t>
  </si>
  <si>
    <t>R2</t>
  </si>
  <si>
    <t>RA</t>
  </si>
  <si>
    <t>RB</t>
  </si>
  <si>
    <t>RI</t>
  </si>
  <si>
    <t>RL</t>
  </si>
  <si>
    <t>RM</t>
  </si>
  <si>
    <t>RN</t>
  </si>
  <si>
    <t>RR</t>
  </si>
  <si>
    <t>RT</t>
  </si>
  <si>
    <t>RU</t>
  </si>
  <si>
    <t>S0</t>
  </si>
  <si>
    <t>SA</t>
  </si>
  <si>
    <t>SB</t>
  </si>
  <si>
    <t>SC</t>
  </si>
  <si>
    <t>SE</t>
  </si>
  <si>
    <t>SF</t>
  </si>
  <si>
    <t>SG</t>
  </si>
  <si>
    <t>SH</t>
  </si>
  <si>
    <t>Si</t>
  </si>
  <si>
    <t>SN</t>
  </si>
  <si>
    <t>SO</t>
  </si>
  <si>
    <t>SP</t>
  </si>
  <si>
    <t>SR</t>
  </si>
  <si>
    <t>SS</t>
  </si>
  <si>
    <t>Su</t>
  </si>
  <si>
    <t>SV</t>
  </si>
  <si>
    <t>SX</t>
  </si>
  <si>
    <t>SZ</t>
  </si>
  <si>
    <t>TB</t>
  </si>
  <si>
    <t>TI</t>
  </si>
  <si>
    <t>TN</t>
  </si>
  <si>
    <t>TP</t>
  </si>
  <si>
    <t>TR</t>
  </si>
  <si>
    <t>TT</t>
  </si>
  <si>
    <t>TY</t>
  </si>
  <si>
    <t>UC</t>
  </si>
  <si>
    <t>US</t>
  </si>
  <si>
    <t>UT</t>
  </si>
  <si>
    <t>VB</t>
  </si>
  <si>
    <t>VI</t>
  </si>
  <si>
    <t>VK</t>
  </si>
  <si>
    <t>W4</t>
  </si>
  <si>
    <t>WU</t>
  </si>
  <si>
    <t>X5</t>
  </si>
  <si>
    <t>YD</t>
  </si>
  <si>
    <t>ZC</t>
  </si>
  <si>
    <t>LATNAME</t>
  </si>
  <si>
    <t>AED-3.25</t>
  </si>
  <si>
    <t>AED-6.25</t>
  </si>
  <si>
    <t>AED-9.25</t>
  </si>
  <si>
    <t>AED-12.25</t>
  </si>
  <si>
    <t>AFLT-3.25</t>
  </si>
  <si>
    <t>AFLT-6.25</t>
  </si>
  <si>
    <t>AFKS-3.25</t>
  </si>
  <si>
    <t>AFKS-6.25</t>
  </si>
  <si>
    <t>ALRS-3.25</t>
  </si>
  <si>
    <t>ALRS-6.25</t>
  </si>
  <si>
    <t>ALUM-3.25</t>
  </si>
  <si>
    <t>ALUM-6.25</t>
  </si>
  <si>
    <t>AMD-3.25</t>
  </si>
  <si>
    <t>AMD-6.25</t>
  </si>
  <si>
    <t>AMD-9.25</t>
  </si>
  <si>
    <t>AMD-12.25</t>
  </si>
  <si>
    <t>ASTR-3.25</t>
  </si>
  <si>
    <t>ASTR-6.25</t>
  </si>
  <si>
    <t>AUDU-3.25</t>
  </si>
  <si>
    <t>AUDU-6.25</t>
  </si>
  <si>
    <t>ALIBABA-3.25</t>
  </si>
  <si>
    <t>ALIBABA-6.25</t>
  </si>
  <si>
    <t>BAIDU-3.25</t>
  </si>
  <si>
    <t>BAIDU-6.25</t>
  </si>
  <si>
    <t>BRM-3.25</t>
  </si>
  <si>
    <t>BRM-4.25</t>
  </si>
  <si>
    <t>BRM-5.25</t>
  </si>
  <si>
    <t>BRM-6.25</t>
  </si>
  <si>
    <t>BRM-7.25</t>
  </si>
  <si>
    <t>BRM-8.25</t>
  </si>
  <si>
    <t>BANE-3.25</t>
  </si>
  <si>
    <t>BANE-6.25</t>
  </si>
  <si>
    <t>BR-1.26</t>
  </si>
  <si>
    <t>BR-2.26</t>
  </si>
  <si>
    <t>BR-3.25</t>
  </si>
  <si>
    <t>BR-4.25</t>
  </si>
  <si>
    <t>BR-5.25</t>
  </si>
  <si>
    <t>BR-6.25</t>
  </si>
  <si>
    <t>BR-7.25</t>
  </si>
  <si>
    <t>BR-8.25</t>
  </si>
  <si>
    <t>BR-9.25</t>
  </si>
  <si>
    <t>BR-10.25</t>
  </si>
  <si>
    <t>BR-11.25</t>
  </si>
  <si>
    <t>BR-12.25</t>
  </si>
  <si>
    <t>BSPB-3.25</t>
  </si>
  <si>
    <t>BSPB-6.25</t>
  </si>
  <si>
    <t>BYN-3.25</t>
  </si>
  <si>
    <t>BYN-6.25</t>
  </si>
  <si>
    <t>UCAD-3.25</t>
  </si>
  <si>
    <t>UCAD-6.25</t>
  </si>
  <si>
    <t>COCOA-3.25</t>
  </si>
  <si>
    <t>COCOA-5.25</t>
  </si>
  <si>
    <t>COCOA-7.25</t>
  </si>
  <si>
    <t>COPPER-3.25</t>
  </si>
  <si>
    <t>COPPER-6.25</t>
  </si>
  <si>
    <t>UCHF-3.25</t>
  </si>
  <si>
    <t>UCHF-6.25</t>
  </si>
  <si>
    <t>CHMF-3.25</t>
  </si>
  <si>
    <t>CHMF-6.25</t>
  </si>
  <si>
    <t>CBOM-3.25</t>
  </si>
  <si>
    <t>CBOM-6.25</t>
  </si>
  <si>
    <t>CNYRUBF</t>
  </si>
  <si>
    <t>CNY-3.25</t>
  </si>
  <si>
    <t>CNY-3.26</t>
  </si>
  <si>
    <t>CNY-6.25</t>
  </si>
  <si>
    <t>CNY-6.26</t>
  </si>
  <si>
    <t>CNY-9.25</t>
  </si>
  <si>
    <t>CNY-12.25</t>
  </si>
  <si>
    <t>CNI-3.25</t>
  </si>
  <si>
    <t>CNI-6.25</t>
  </si>
  <si>
    <t>DJ30-3.25</t>
  </si>
  <si>
    <t>DJ30-6.25</t>
  </si>
  <si>
    <t>DJ30-9.25</t>
  </si>
  <si>
    <t>DJ30-12.25</t>
  </si>
  <si>
    <t>DAX-3.25</t>
  </si>
  <si>
    <t>DAX-6.25</t>
  </si>
  <si>
    <t>DAX-9.25</t>
  </si>
  <si>
    <t>DAX-12.25</t>
  </si>
  <si>
    <t>ECAD-3.25</t>
  </si>
  <si>
    <t>ECAD-6.25</t>
  </si>
  <si>
    <t>ED-3.25</t>
  </si>
  <si>
    <t>ED-6.25</t>
  </si>
  <si>
    <t>ED-9.25</t>
  </si>
  <si>
    <t>EGBP-3.25</t>
  </si>
  <si>
    <t>EGBP-6.25</t>
  </si>
  <si>
    <t>EJPY-3.25</t>
  </si>
  <si>
    <t>EJPY-6.25</t>
  </si>
  <si>
    <t>EM-3.25</t>
  </si>
  <si>
    <t>EM-6.25</t>
  </si>
  <si>
    <t>EM-9.25</t>
  </si>
  <si>
    <t>EM-12.25</t>
  </si>
  <si>
    <t>Eu-3.25</t>
  </si>
  <si>
    <t>Eu-3.26</t>
  </si>
  <si>
    <t>Eu-6.25</t>
  </si>
  <si>
    <t>Eu-6.26</t>
  </si>
  <si>
    <t>EURRUBF</t>
  </si>
  <si>
    <t>Eu-9.25</t>
  </si>
  <si>
    <t>Eu-12.25</t>
  </si>
  <si>
    <t>FESH-3.25</t>
  </si>
  <si>
    <t>FESH-6.25</t>
  </si>
  <si>
    <t>FLOT-3.25</t>
  </si>
  <si>
    <t>FLOT-6.25</t>
  </si>
  <si>
    <t>FNI-3.25</t>
  </si>
  <si>
    <t>FNI-6.25</t>
  </si>
  <si>
    <t>FEES-3.25</t>
  </si>
  <si>
    <t>FEES-6.25</t>
  </si>
  <si>
    <t>GAZPF</t>
  </si>
  <si>
    <t>GOLD-3.25</t>
  </si>
  <si>
    <t>GOLD-6.25</t>
  </si>
  <si>
    <t>GOLD-9.25</t>
  </si>
  <si>
    <t>GOLD-12.25</t>
  </si>
  <si>
    <t>GMKN-3.25</t>
  </si>
  <si>
    <t>GMKN-6.25</t>
  </si>
  <si>
    <t>GLDRUBF</t>
  </si>
  <si>
    <t>GL-3.25</t>
  </si>
  <si>
    <t>GL-6.25</t>
  </si>
  <si>
    <t>GL-9.25</t>
  </si>
  <si>
    <t>GL-12.25</t>
  </si>
  <si>
    <t>GBPU-3.25</t>
  </si>
  <si>
    <t>GBPU-6.25</t>
  </si>
  <si>
    <t>GAZR-3.25</t>
  </si>
  <si>
    <t>GAZR-3.26</t>
  </si>
  <si>
    <t>GAZR-6.25</t>
  </si>
  <si>
    <t>GAZR-6.26</t>
  </si>
  <si>
    <t>GAZR-9.25</t>
  </si>
  <si>
    <t>GAZR-12.25</t>
  </si>
  <si>
    <t>HKD-3.25</t>
  </si>
  <si>
    <t>HKD-6.25</t>
  </si>
  <si>
    <t>HKD-9.25</t>
  </si>
  <si>
    <t>HKD-12.25</t>
  </si>
  <si>
    <t>HOME-3.25</t>
  </si>
  <si>
    <t>HOME-6.25</t>
  </si>
  <si>
    <t>HOME-9.25</t>
  </si>
  <si>
    <t>HANG-3.25</t>
  </si>
  <si>
    <t>HANG-6.25</t>
  </si>
  <si>
    <t>HANG-9.25</t>
  </si>
  <si>
    <t>HANG-12.25</t>
  </si>
  <si>
    <t>HYDR-3.25</t>
  </si>
  <si>
    <t>HYDR-6.25</t>
  </si>
  <si>
    <t>INR-3.25</t>
  </si>
  <si>
    <t>INR-6.25</t>
  </si>
  <si>
    <t>INR-9.25</t>
  </si>
  <si>
    <t>INR-12.25</t>
  </si>
  <si>
    <t>IMOEXF</t>
  </si>
  <si>
    <t>IPO-3.25</t>
  </si>
  <si>
    <t>IPO-6.25</t>
  </si>
  <si>
    <t>IRAO-3.25</t>
  </si>
  <si>
    <t>IRAO-6.25</t>
  </si>
  <si>
    <t>ISKJ-3.25</t>
  </si>
  <si>
    <t>ISKJ-6.25</t>
  </si>
  <si>
    <t>UJPY-3.25</t>
  </si>
  <si>
    <t>UJPY-6.25</t>
  </si>
  <si>
    <t>KMAZ-3.25</t>
  </si>
  <si>
    <t>KMAZ-6.25</t>
  </si>
  <si>
    <t>KZT-3.25</t>
  </si>
  <si>
    <t>KZT-6.25</t>
  </si>
  <si>
    <t>KZT-9.25</t>
  </si>
  <si>
    <t>KZT-12.25</t>
  </si>
  <si>
    <t>LEAS-3.25</t>
  </si>
  <si>
    <t>LEAS-6.25</t>
  </si>
  <si>
    <t>LKOH-3.25</t>
  </si>
  <si>
    <t>LKOH-6.25</t>
  </si>
  <si>
    <t>MMI-3.25</t>
  </si>
  <si>
    <t>MMI-6.25</t>
  </si>
  <si>
    <t>MTLR-3.25</t>
  </si>
  <si>
    <t>MTLR-6.25</t>
  </si>
  <si>
    <t>MOEX-3.25</t>
  </si>
  <si>
    <t>MOEX-6.25</t>
  </si>
  <si>
    <t>1MFR-1.26</t>
  </si>
  <si>
    <t>1MFR-2.25</t>
  </si>
  <si>
    <t>1MFR-3.25</t>
  </si>
  <si>
    <t>1MFR-4.25</t>
  </si>
  <si>
    <t>1MFR-5.25</t>
  </si>
  <si>
    <t>1MFR-6.25</t>
  </si>
  <si>
    <t>1MFR-7.25</t>
  </si>
  <si>
    <t>1MFR-8.25</t>
  </si>
  <si>
    <t>1MFR-9.25</t>
  </si>
  <si>
    <t>1MFR-10.25</t>
  </si>
  <si>
    <t>1MFR-11.25</t>
  </si>
  <si>
    <t>1MFR-12.25</t>
  </si>
  <si>
    <t>MAGN-3.25</t>
  </si>
  <si>
    <t>MAGN-6.25</t>
  </si>
  <si>
    <t>MXI-3.25</t>
  </si>
  <si>
    <t>MXI-3.26</t>
  </si>
  <si>
    <t>MXI-3.27</t>
  </si>
  <si>
    <t>MXI-6.25</t>
  </si>
  <si>
    <t>MXI-6.26</t>
  </si>
  <si>
    <t>MXI-6.27</t>
  </si>
  <si>
    <t>MXI-9.25</t>
  </si>
  <si>
    <t>MXI-9.26</t>
  </si>
  <si>
    <t>MXI-12.25</t>
  </si>
  <si>
    <t>MXI-12.26</t>
  </si>
  <si>
    <t>MXI-12.27</t>
  </si>
  <si>
    <t>MGNT-3.25</t>
  </si>
  <si>
    <t>MGNT-6.25</t>
  </si>
  <si>
    <t>MTSI-3.25</t>
  </si>
  <si>
    <t>MTSI-6.25</t>
  </si>
  <si>
    <t>MVID-3.25</t>
  </si>
  <si>
    <t>MVID-6.25</t>
  </si>
  <si>
    <t>MIX-3.25</t>
  </si>
  <si>
    <t>MIX-6.25</t>
  </si>
  <si>
    <t>MIX-9.25</t>
  </si>
  <si>
    <t>MIX-12.25</t>
  </si>
  <si>
    <t>MOEXCNY-3.25</t>
  </si>
  <si>
    <t>MOEXCNY-6.25</t>
  </si>
  <si>
    <t>MOEXCNY-9.25</t>
  </si>
  <si>
    <t>MOEXCNY-12.25</t>
  </si>
  <si>
    <t>NIKK-3.25</t>
  </si>
  <si>
    <t>NIKK-6.25</t>
  </si>
  <si>
    <t>NIKK-9.25</t>
  </si>
  <si>
    <t>NIKK-12.25</t>
  </si>
  <si>
    <t>NASD-3.25</t>
  </si>
  <si>
    <t>NASD-6.25</t>
  </si>
  <si>
    <t>NASD-9.25</t>
  </si>
  <si>
    <t>NASD-12.25</t>
  </si>
  <si>
    <t>BELUGA-3.25</t>
  </si>
  <si>
    <t>BELUGA-6.25</t>
  </si>
  <si>
    <t>NICKEL-3.25</t>
  </si>
  <si>
    <t>NICKEL-6.25</t>
  </si>
  <si>
    <t>NG-2.25</t>
  </si>
  <si>
    <t>NG-3.25</t>
  </si>
  <si>
    <t>NG-4.25</t>
  </si>
  <si>
    <t>NG-5.25</t>
  </si>
  <si>
    <t>NG-6.25</t>
  </si>
  <si>
    <t>NG-7.25</t>
  </si>
  <si>
    <t>NOTK-3.25</t>
  </si>
  <si>
    <t>NOTK-6.25</t>
  </si>
  <si>
    <t>NLMK-3.25</t>
  </si>
  <si>
    <t>NLMK-6.25</t>
  </si>
  <si>
    <t>NGM-2.25</t>
  </si>
  <si>
    <t>NGM-3.25</t>
  </si>
  <si>
    <t>NGM-4.25</t>
  </si>
  <si>
    <t>NGM-5.25</t>
  </si>
  <si>
    <t>NGM-6.25</t>
  </si>
  <si>
    <t>NGM-7.25</t>
  </si>
  <si>
    <t>OGI-3.25</t>
  </si>
  <si>
    <t>OGI-6.25</t>
  </si>
  <si>
    <t>PLD-3.25</t>
  </si>
  <si>
    <t>PLD-6.25</t>
  </si>
  <si>
    <t>PLD-9.25</t>
  </si>
  <si>
    <t>PHOR-3.25</t>
  </si>
  <si>
    <t>PHOR-6.25</t>
  </si>
  <si>
    <t>PIKK-3.25</t>
  </si>
  <si>
    <t>PIKK-6.25</t>
  </si>
  <si>
    <t>POSI-3.25</t>
  </si>
  <si>
    <t>POSI-6.25</t>
  </si>
  <si>
    <t>PLT-3.25</t>
  </si>
  <si>
    <t>PLT-6.25</t>
  </si>
  <si>
    <t>PLT-9.25</t>
  </si>
  <si>
    <t>PLZL-3.25</t>
  </si>
  <si>
    <t>PLZL-6.25</t>
  </si>
  <si>
    <t>R2000-3.25</t>
  </si>
  <si>
    <t>R2000-6.25</t>
  </si>
  <si>
    <t>R2000-9.25</t>
  </si>
  <si>
    <t>R2000-12.25</t>
  </si>
  <si>
    <t>RASP-3.25</t>
  </si>
  <si>
    <t>RASP-6.25</t>
  </si>
  <si>
    <t>RGBI-3.25</t>
  </si>
  <si>
    <t>RGBI-6.25</t>
  </si>
  <si>
    <t>RTS-3.25</t>
  </si>
  <si>
    <t>RTS-3.26</t>
  </si>
  <si>
    <t>RTS-6.25</t>
  </si>
  <si>
    <t>RTS-6.26</t>
  </si>
  <si>
    <t>RTS-9.25</t>
  </si>
  <si>
    <t>RTS-9.26</t>
  </si>
  <si>
    <t>RTS-12.25</t>
  </si>
  <si>
    <t>RTS-12.26</t>
  </si>
  <si>
    <t>RUAL-3.25</t>
  </si>
  <si>
    <t>RUAL-6.25</t>
  </si>
  <si>
    <t>RTSM-3.25</t>
  </si>
  <si>
    <t>RTSM-6.25</t>
  </si>
  <si>
    <t>RTSM-9.25</t>
  </si>
  <si>
    <t>RTSM-12.25</t>
  </si>
  <si>
    <t>ROSN-3.25</t>
  </si>
  <si>
    <t>ROSN-3.26</t>
  </si>
  <si>
    <t>ROSN-6.25</t>
  </si>
  <si>
    <t>ROSN-6.26</t>
  </si>
  <si>
    <t>ROSN-9.25</t>
  </si>
  <si>
    <t>ROSN-12.25</t>
  </si>
  <si>
    <t>RUON-1.26</t>
  </si>
  <si>
    <t>RUON-2.25</t>
  </si>
  <si>
    <t>RUON-3.25</t>
  </si>
  <si>
    <t>RUON-4.25</t>
  </si>
  <si>
    <t>RUON-5.25</t>
  </si>
  <si>
    <t>RUON-6.25</t>
  </si>
  <si>
    <t>RUON-7.25</t>
  </si>
  <si>
    <t>RUON-8.25</t>
  </si>
  <si>
    <t>RUON-9.25</t>
  </si>
  <si>
    <t>RUON-10.25</t>
  </si>
  <si>
    <t>RUON-11.25</t>
  </si>
  <si>
    <t>RUON-12.25</t>
  </si>
  <si>
    <t>RTKM-3.25</t>
  </si>
  <si>
    <t>RTKM-6.25</t>
  </si>
  <si>
    <t>RNFT-3.25</t>
  </si>
  <si>
    <t>RNFT-6.25</t>
  </si>
  <si>
    <t>SOFL-3.25</t>
  </si>
  <si>
    <t>SOFL-6.25</t>
  </si>
  <si>
    <t>SUGR-3.25</t>
  </si>
  <si>
    <t>SUGR-5.25</t>
  </si>
  <si>
    <t>SBERF</t>
  </si>
  <si>
    <t>SVCB-3.25</t>
  </si>
  <si>
    <t>SVCB-6.25</t>
  </si>
  <si>
    <t>SPBE-3.25</t>
  </si>
  <si>
    <t>SPBE-6.25</t>
  </si>
  <si>
    <t>SPYF-3.25</t>
  </si>
  <si>
    <t>SPYF-6.25</t>
  </si>
  <si>
    <t>SPYF-9.25</t>
  </si>
  <si>
    <t>SPYF-12.25</t>
  </si>
  <si>
    <t>SNGP-3.25</t>
  </si>
  <si>
    <t>SNGP-6.25</t>
  </si>
  <si>
    <t>SFIN-3.25</t>
  </si>
  <si>
    <t>SFIN-6.25</t>
  </si>
  <si>
    <t>Si-3.25</t>
  </si>
  <si>
    <t>Si-3.26</t>
  </si>
  <si>
    <t>Si-6.25</t>
  </si>
  <si>
    <t>Si-6.26</t>
  </si>
  <si>
    <t>Si-9.25</t>
  </si>
  <si>
    <t>Si-9.26</t>
  </si>
  <si>
    <t>Si-12.25</t>
  </si>
  <si>
    <t>Si-12.26</t>
  </si>
  <si>
    <t>SNGR-3.25</t>
  </si>
  <si>
    <t>SNGR-6.25</t>
  </si>
  <si>
    <t>SIBN-3.25</t>
  </si>
  <si>
    <t>SIBN-6.25</t>
  </si>
  <si>
    <t>SBPR-3.25</t>
  </si>
  <si>
    <t>SBPR-6.25</t>
  </si>
  <si>
    <t>SBRF-3.25</t>
  </si>
  <si>
    <t>SBRF-6.25</t>
  </si>
  <si>
    <t>SMLT-3.25</t>
  </si>
  <si>
    <t>SMLT-6.25</t>
  </si>
  <si>
    <t>SUGAR-2.25</t>
  </si>
  <si>
    <t>SUGAR-3.25</t>
  </si>
  <si>
    <t>SUGAR-4.25</t>
  </si>
  <si>
    <t>SUGAR-5.25</t>
  </si>
  <si>
    <t>SUGAR-6.25</t>
  </si>
  <si>
    <t>SUGAR-7.25</t>
  </si>
  <si>
    <t>SUGAR-8.25</t>
  </si>
  <si>
    <t>SILV-3.25</t>
  </si>
  <si>
    <t>SILV-6.25</t>
  </si>
  <si>
    <t>SILV-9.25</t>
  </si>
  <si>
    <t>SILV-12.25</t>
  </si>
  <si>
    <t>STOX-3.25</t>
  </si>
  <si>
    <t>STOX-6.25</t>
  </si>
  <si>
    <t>STOX-9.25</t>
  </si>
  <si>
    <t>STOX-12.25</t>
  </si>
  <si>
    <t>SGZH-3.25</t>
  </si>
  <si>
    <t>SGZH-6.25</t>
  </si>
  <si>
    <t>T-6.25</t>
  </si>
  <si>
    <t>T-9.25</t>
  </si>
  <si>
    <t>TCSI-3.25</t>
  </si>
  <si>
    <t>TRNF-3.25</t>
  </si>
  <si>
    <t>TRNF-6.25</t>
  </si>
  <si>
    <t>TATP-3.25</t>
  </si>
  <si>
    <t>TATP-6.25</t>
  </si>
  <si>
    <t>UTRY-3.25</t>
  </si>
  <si>
    <t>UTRY-6.25</t>
  </si>
  <si>
    <t>TATN-3.25</t>
  </si>
  <si>
    <t>TATN-6.25</t>
  </si>
  <si>
    <t>TRY-3.25</t>
  </si>
  <si>
    <t>TRY-6.25</t>
  </si>
  <si>
    <t>TRY-9.25</t>
  </si>
  <si>
    <t>TRY-12.25</t>
  </si>
  <si>
    <t>UCNY-3.25</t>
  </si>
  <si>
    <t>UCNY-6.25</t>
  </si>
  <si>
    <t>UCNY-9.25</t>
  </si>
  <si>
    <t>UCNY-12.25</t>
  </si>
  <si>
    <t>USDRUBF</t>
  </si>
  <si>
    <t>UKZT-3.25</t>
  </si>
  <si>
    <t>UKZT-6.25</t>
  </si>
  <si>
    <t>VTBR-3.25</t>
  </si>
  <si>
    <t>VTBR-6.25</t>
  </si>
  <si>
    <t>RVI-2.25</t>
  </si>
  <si>
    <t>RVI-3.25</t>
  </si>
  <si>
    <t>RVI-4.25</t>
  </si>
  <si>
    <t>VKCO-3.25</t>
  </si>
  <si>
    <t>VKCO-6.25</t>
  </si>
  <si>
    <t>WHEAT-1.26</t>
  </si>
  <si>
    <t>WHEAT-2.25</t>
  </si>
  <si>
    <t>WHEAT-3.25</t>
  </si>
  <si>
    <t>WHEAT-4.25</t>
  </si>
  <si>
    <t>WHEAT-5.25</t>
  </si>
  <si>
    <t>WHEAT-6.25</t>
  </si>
  <si>
    <t>WHEAT-7.25</t>
  </si>
  <si>
    <t>WHEAT-8.25</t>
  </si>
  <si>
    <t>WHEAT-9.25</t>
  </si>
  <si>
    <t>WHEAT-10.25</t>
  </si>
  <si>
    <t>WHEAT-11.25</t>
  </si>
  <si>
    <t>WHEAT-12.25</t>
  </si>
  <si>
    <t>WUSH-3.25</t>
  </si>
  <si>
    <t>WUSH-6.25</t>
  </si>
  <si>
    <t>X5-3.25</t>
  </si>
  <si>
    <t>X5-6.25</t>
  </si>
  <si>
    <t>YDEX-3.25</t>
  </si>
  <si>
    <t>YDEX-6.25</t>
  </si>
  <si>
    <t>ZINC-3.25</t>
  </si>
  <si>
    <t>ZINC-6.25</t>
  </si>
  <si>
    <t>PREVSETTLEPRICE</t>
  </si>
  <si>
    <t>MINSTEP</t>
  </si>
  <si>
    <t>LOTVOLUME</t>
  </si>
  <si>
    <t>STEPPRICE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</si>
</sst>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7"/>
  <sheetViews>
    <sheetView tabSelected="1" topLeftCell="A352" workbookViewId="0">
      <selection activeCell="T358" sqref="T358"/>
    </sheetView>
  </sheetViews>
  <sheetFormatPr defaultRowHeight="15" x14ac:dyDescent="0.25"/>
  <cols>
    <col min="1" max="1" width="10.85546875" customWidth="1"/>
    <col min="2" max="2" width="11.5703125" customWidth="1"/>
    <col min="3" max="3" width="25" customWidth="1"/>
    <col min="4" max="4" width="9.28515625" customWidth="1"/>
    <col min="6" max="6" width="15.5703125" customWidth="1"/>
  </cols>
  <sheetData>
    <row r="1" spans="1:10" x14ac:dyDescent="0.25">
      <c r="A1" t="s">
        <v>0</v>
      </c>
      <c r="B1" t="s">
        <v>130</v>
      </c>
      <c r="C1" t="s">
        <v>527</v>
      </c>
      <c r="D1" t="s">
        <v>528</v>
      </c>
      <c r="E1" t="s">
        <v>529</v>
      </c>
      <c r="F1" t="s">
        <v>530</v>
      </c>
    </row>
    <row r="2" spans="1:10" x14ac:dyDescent="0.25">
      <c r="A2" t="s">
        <v>1</v>
      </c>
      <c r="B2" t="s">
        <v>131</v>
      </c>
      <c r="C2">
        <v>27.259</v>
      </c>
      <c r="D2">
        <v>1E-3</v>
      </c>
      <c r="E2">
        <v>1000</v>
      </c>
      <c r="F2">
        <v>1</v>
      </c>
      <c r="G2">
        <f>(F2/D2)*C2</f>
        <v>27259</v>
      </c>
      <c r="H2">
        <f>F2/D2</f>
        <v>1000</v>
      </c>
      <c r="I2">
        <f>G2/H2</f>
        <v>27.259</v>
      </c>
      <c r="J2">
        <f>F2/D2</f>
        <v>1000</v>
      </c>
    </row>
    <row r="3" spans="1:10" x14ac:dyDescent="0.25">
      <c r="A3" t="s">
        <v>1</v>
      </c>
      <c r="B3" t="s">
        <v>132</v>
      </c>
      <c r="C3">
        <v>28.446000000000002</v>
      </c>
      <c r="D3">
        <v>1E-3</v>
      </c>
      <c r="E3">
        <v>1000</v>
      </c>
      <c r="F3">
        <v>1</v>
      </c>
      <c r="G3">
        <f t="shared" ref="G3:G11" si="0">(F3/D3)*C3</f>
        <v>28446</v>
      </c>
      <c r="H3">
        <f t="shared" ref="H3:H66" si="1">F3/D3</f>
        <v>1000</v>
      </c>
      <c r="I3">
        <f t="shared" ref="I3:I66" si="2">G3/H3</f>
        <v>28.446000000000002</v>
      </c>
      <c r="J3">
        <f t="shared" ref="J3:J66" si="3">F3/D3</f>
        <v>1000</v>
      </c>
    </row>
    <row r="4" spans="1:10" x14ac:dyDescent="0.25">
      <c r="A4" t="s">
        <v>1</v>
      </c>
      <c r="B4" t="s">
        <v>133</v>
      </c>
      <c r="C4">
        <v>29.5</v>
      </c>
      <c r="D4">
        <v>1E-3</v>
      </c>
      <c r="E4">
        <v>1000</v>
      </c>
      <c r="F4">
        <v>1</v>
      </c>
      <c r="G4">
        <f t="shared" si="0"/>
        <v>29500</v>
      </c>
      <c r="H4">
        <f t="shared" si="1"/>
        <v>1000</v>
      </c>
      <c r="I4">
        <f t="shared" si="2"/>
        <v>29.5</v>
      </c>
      <c r="J4">
        <f t="shared" si="3"/>
        <v>1000</v>
      </c>
    </row>
    <row r="5" spans="1:10" x14ac:dyDescent="0.25">
      <c r="A5" t="s">
        <v>1</v>
      </c>
      <c r="B5" t="s">
        <v>134</v>
      </c>
      <c r="C5">
        <v>30.946000000000002</v>
      </c>
      <c r="D5">
        <v>1E-3</v>
      </c>
      <c r="E5">
        <v>1000</v>
      </c>
      <c r="F5">
        <v>1</v>
      </c>
      <c r="G5">
        <f t="shared" si="0"/>
        <v>30946</v>
      </c>
      <c r="H5">
        <f t="shared" si="1"/>
        <v>1000</v>
      </c>
      <c r="I5">
        <f t="shared" si="2"/>
        <v>30.946000000000002</v>
      </c>
      <c r="J5">
        <f t="shared" si="3"/>
        <v>1000</v>
      </c>
    </row>
    <row r="6" spans="1:10" x14ac:dyDescent="0.25">
      <c r="A6" t="s">
        <v>2</v>
      </c>
      <c r="B6" t="s">
        <v>135</v>
      </c>
      <c r="C6">
        <v>6566</v>
      </c>
      <c r="D6">
        <v>1</v>
      </c>
      <c r="E6">
        <v>100</v>
      </c>
      <c r="F6">
        <v>1</v>
      </c>
      <c r="G6">
        <f t="shared" si="0"/>
        <v>6566</v>
      </c>
      <c r="H6">
        <f t="shared" si="1"/>
        <v>1</v>
      </c>
      <c r="I6">
        <f t="shared" si="2"/>
        <v>6566</v>
      </c>
      <c r="J6">
        <f t="shared" si="3"/>
        <v>1</v>
      </c>
    </row>
    <row r="7" spans="1:10" x14ac:dyDescent="0.25">
      <c r="A7" t="s">
        <v>2</v>
      </c>
      <c r="B7" t="s">
        <v>136</v>
      </c>
      <c r="C7">
        <v>6773</v>
      </c>
      <c r="D7">
        <v>1</v>
      </c>
      <c r="E7">
        <v>100</v>
      </c>
      <c r="F7">
        <v>1</v>
      </c>
      <c r="G7">
        <f t="shared" si="0"/>
        <v>6773</v>
      </c>
      <c r="H7">
        <f t="shared" si="1"/>
        <v>1</v>
      </c>
      <c r="I7">
        <f t="shared" si="2"/>
        <v>6773</v>
      </c>
      <c r="J7">
        <f t="shared" si="3"/>
        <v>1</v>
      </c>
    </row>
    <row r="8" spans="1:10" x14ac:dyDescent="0.25">
      <c r="A8" t="s">
        <v>3</v>
      </c>
      <c r="B8" t="s">
        <v>137</v>
      </c>
      <c r="C8">
        <v>14376</v>
      </c>
      <c r="D8">
        <v>1</v>
      </c>
      <c r="E8">
        <v>1000</v>
      </c>
      <c r="F8">
        <v>1</v>
      </c>
      <c r="G8">
        <f t="shared" si="0"/>
        <v>14376</v>
      </c>
      <c r="H8">
        <f t="shared" si="1"/>
        <v>1</v>
      </c>
      <c r="I8">
        <f t="shared" si="2"/>
        <v>14376</v>
      </c>
      <c r="J8">
        <f t="shared" si="3"/>
        <v>1</v>
      </c>
    </row>
    <row r="9" spans="1:10" x14ac:dyDescent="0.25">
      <c r="A9" t="s">
        <v>3</v>
      </c>
      <c r="B9" t="s">
        <v>138</v>
      </c>
      <c r="C9">
        <v>15096</v>
      </c>
      <c r="D9">
        <v>1</v>
      </c>
      <c r="E9">
        <v>1000</v>
      </c>
      <c r="F9">
        <v>1</v>
      </c>
      <c r="G9">
        <f t="shared" si="0"/>
        <v>15096</v>
      </c>
      <c r="H9">
        <f t="shared" si="1"/>
        <v>1</v>
      </c>
      <c r="I9">
        <f t="shared" si="2"/>
        <v>15096</v>
      </c>
      <c r="J9">
        <f t="shared" si="3"/>
        <v>1</v>
      </c>
    </row>
    <row r="10" spans="1:10" x14ac:dyDescent="0.25">
      <c r="A10" t="s">
        <v>4</v>
      </c>
      <c r="B10" t="s">
        <v>139</v>
      </c>
      <c r="C10">
        <v>5817</v>
      </c>
      <c r="D10">
        <v>1</v>
      </c>
      <c r="E10">
        <v>100</v>
      </c>
      <c r="F10">
        <v>1</v>
      </c>
      <c r="G10">
        <f t="shared" si="0"/>
        <v>5817</v>
      </c>
      <c r="H10">
        <f t="shared" si="1"/>
        <v>1</v>
      </c>
      <c r="I10">
        <f t="shared" si="2"/>
        <v>5817</v>
      </c>
      <c r="J10">
        <f t="shared" si="3"/>
        <v>1</v>
      </c>
    </row>
    <row r="11" spans="1:10" x14ac:dyDescent="0.25">
      <c r="A11" t="s">
        <v>4</v>
      </c>
      <c r="B11" t="s">
        <v>140</v>
      </c>
      <c r="C11">
        <v>6007</v>
      </c>
      <c r="D11">
        <v>1</v>
      </c>
      <c r="E11">
        <v>100</v>
      </c>
      <c r="F11">
        <v>1</v>
      </c>
      <c r="G11">
        <f t="shared" si="0"/>
        <v>6007</v>
      </c>
      <c r="H11">
        <f t="shared" si="1"/>
        <v>1</v>
      </c>
      <c r="I11">
        <f t="shared" si="2"/>
        <v>6007</v>
      </c>
      <c r="J11">
        <f t="shared" si="3"/>
        <v>1</v>
      </c>
    </row>
    <row r="12" spans="1:10" x14ac:dyDescent="0.25">
      <c r="A12" t="s">
        <v>5</v>
      </c>
      <c r="B12" t="s">
        <v>141</v>
      </c>
      <c r="C12">
        <v>2637.5</v>
      </c>
      <c r="D12">
        <v>0.5</v>
      </c>
      <c r="E12">
        <v>100</v>
      </c>
      <c r="F12">
        <v>4.86381</v>
      </c>
      <c r="G12">
        <f>(F12/D12)*C12</f>
        <v>25656.597750000001</v>
      </c>
      <c r="H12">
        <f t="shared" si="1"/>
        <v>9.7276199999999999</v>
      </c>
      <c r="I12">
        <f t="shared" si="2"/>
        <v>2637.5</v>
      </c>
      <c r="J12">
        <f t="shared" si="3"/>
        <v>9.7276199999999999</v>
      </c>
    </row>
    <row r="13" spans="1:10" x14ac:dyDescent="0.25">
      <c r="A13" t="s">
        <v>5</v>
      </c>
      <c r="B13" t="s">
        <v>142</v>
      </c>
      <c r="C13">
        <v>2719</v>
      </c>
      <c r="D13">
        <v>0.5</v>
      </c>
      <c r="E13">
        <v>100</v>
      </c>
      <c r="F13">
        <v>4.86381</v>
      </c>
      <c r="G13">
        <f t="shared" ref="G13:G76" si="4">(F13/D13)*C13</f>
        <v>26449.39878</v>
      </c>
      <c r="H13">
        <f t="shared" si="1"/>
        <v>9.7276199999999999</v>
      </c>
      <c r="I13">
        <f t="shared" si="2"/>
        <v>2719</v>
      </c>
      <c r="J13">
        <f t="shared" si="3"/>
        <v>9.7276199999999999</v>
      </c>
    </row>
    <row r="14" spans="1:10" x14ac:dyDescent="0.25">
      <c r="A14" t="s">
        <v>6</v>
      </c>
      <c r="B14" t="s">
        <v>143</v>
      </c>
      <c r="C14">
        <v>27.4</v>
      </c>
      <c r="D14">
        <v>1E-3</v>
      </c>
      <c r="E14">
        <v>100000</v>
      </c>
      <c r="F14">
        <v>1</v>
      </c>
      <c r="G14">
        <f t="shared" si="4"/>
        <v>27400</v>
      </c>
      <c r="H14">
        <f t="shared" si="1"/>
        <v>1000</v>
      </c>
      <c r="I14">
        <f t="shared" si="2"/>
        <v>27.4</v>
      </c>
      <c r="J14">
        <f t="shared" si="3"/>
        <v>1000</v>
      </c>
    </row>
    <row r="15" spans="1:10" x14ac:dyDescent="0.25">
      <c r="A15" t="s">
        <v>6</v>
      </c>
      <c r="B15" t="s">
        <v>144</v>
      </c>
      <c r="C15">
        <v>28.495999999999999</v>
      </c>
      <c r="D15">
        <v>1E-3</v>
      </c>
      <c r="E15">
        <v>100000</v>
      </c>
      <c r="F15">
        <v>1</v>
      </c>
      <c r="G15">
        <f t="shared" si="4"/>
        <v>28496</v>
      </c>
      <c r="H15">
        <f t="shared" si="1"/>
        <v>1000</v>
      </c>
      <c r="I15">
        <f t="shared" si="2"/>
        <v>28.495999999999999</v>
      </c>
      <c r="J15">
        <f t="shared" si="3"/>
        <v>1000</v>
      </c>
    </row>
    <row r="16" spans="1:10" x14ac:dyDescent="0.25">
      <c r="A16" t="s">
        <v>6</v>
      </c>
      <c r="B16" t="s">
        <v>145</v>
      </c>
      <c r="C16">
        <v>30.643000000000001</v>
      </c>
      <c r="D16">
        <v>1E-3</v>
      </c>
      <c r="E16">
        <v>100000</v>
      </c>
      <c r="F16">
        <v>1</v>
      </c>
      <c r="G16">
        <f t="shared" si="4"/>
        <v>30643</v>
      </c>
      <c r="H16">
        <f t="shared" si="1"/>
        <v>1000</v>
      </c>
      <c r="I16">
        <f t="shared" si="2"/>
        <v>30.643000000000001</v>
      </c>
      <c r="J16">
        <f t="shared" si="3"/>
        <v>1000</v>
      </c>
    </row>
    <row r="17" spans="1:10" x14ac:dyDescent="0.25">
      <c r="A17" t="s">
        <v>6</v>
      </c>
      <c r="B17" t="s">
        <v>146</v>
      </c>
      <c r="C17">
        <v>32.405999999999999</v>
      </c>
      <c r="D17">
        <v>1E-3</v>
      </c>
      <c r="E17">
        <v>100000</v>
      </c>
      <c r="F17">
        <v>1</v>
      </c>
      <c r="G17">
        <f t="shared" si="4"/>
        <v>32406</v>
      </c>
      <c r="H17">
        <f t="shared" si="1"/>
        <v>1000</v>
      </c>
      <c r="I17">
        <f t="shared" si="2"/>
        <v>32.405999999999999</v>
      </c>
      <c r="J17">
        <f t="shared" si="3"/>
        <v>1000</v>
      </c>
    </row>
    <row r="18" spans="1:10" x14ac:dyDescent="0.25">
      <c r="A18" t="s">
        <v>7</v>
      </c>
      <c r="B18" t="s">
        <v>147</v>
      </c>
      <c r="C18">
        <v>527</v>
      </c>
      <c r="D18">
        <v>1</v>
      </c>
      <c r="E18">
        <v>1</v>
      </c>
      <c r="F18">
        <v>1</v>
      </c>
      <c r="G18">
        <f t="shared" si="4"/>
        <v>527</v>
      </c>
      <c r="H18">
        <f t="shared" si="1"/>
        <v>1</v>
      </c>
      <c r="I18">
        <f t="shared" si="2"/>
        <v>527</v>
      </c>
      <c r="J18">
        <f t="shared" si="3"/>
        <v>1</v>
      </c>
    </row>
    <row r="19" spans="1:10" x14ac:dyDescent="0.25">
      <c r="A19" t="s">
        <v>7</v>
      </c>
      <c r="B19" t="s">
        <v>148</v>
      </c>
      <c r="C19">
        <v>554</v>
      </c>
      <c r="D19">
        <v>1</v>
      </c>
      <c r="E19">
        <v>1</v>
      </c>
      <c r="F19">
        <v>1</v>
      </c>
      <c r="G19">
        <f t="shared" si="4"/>
        <v>554</v>
      </c>
      <c r="H19">
        <f t="shared" si="1"/>
        <v>1</v>
      </c>
      <c r="I19">
        <f t="shared" si="2"/>
        <v>554</v>
      </c>
      <c r="J19">
        <f t="shared" si="3"/>
        <v>1</v>
      </c>
    </row>
    <row r="20" spans="1:10" x14ac:dyDescent="0.25">
      <c r="A20" t="s">
        <v>8</v>
      </c>
      <c r="B20" t="s">
        <v>149</v>
      </c>
      <c r="C20">
        <v>0.62839999999999996</v>
      </c>
      <c r="D20">
        <v>1E-4</v>
      </c>
      <c r="E20">
        <v>1000</v>
      </c>
      <c r="F20">
        <v>9.7276199999999999</v>
      </c>
      <c r="G20">
        <f t="shared" si="4"/>
        <v>61128.364079999992</v>
      </c>
      <c r="H20">
        <f t="shared" si="1"/>
        <v>97276.2</v>
      </c>
      <c r="I20">
        <f t="shared" si="2"/>
        <v>0.62839999999999996</v>
      </c>
      <c r="J20">
        <f t="shared" si="3"/>
        <v>97276.2</v>
      </c>
    </row>
    <row r="21" spans="1:10" x14ac:dyDescent="0.25">
      <c r="A21" t="s">
        <v>8</v>
      </c>
      <c r="B21" t="s">
        <v>150</v>
      </c>
      <c r="C21">
        <v>0.62939999999999996</v>
      </c>
      <c r="D21">
        <v>1E-4</v>
      </c>
      <c r="E21">
        <v>1000</v>
      </c>
      <c r="F21">
        <v>9.7276199999999999</v>
      </c>
      <c r="G21">
        <f t="shared" si="4"/>
        <v>61225.640279999992</v>
      </c>
      <c r="H21">
        <f t="shared" si="1"/>
        <v>97276.2</v>
      </c>
      <c r="I21">
        <f t="shared" si="2"/>
        <v>0.62939999999999996</v>
      </c>
      <c r="J21">
        <f t="shared" si="3"/>
        <v>97276.2</v>
      </c>
    </row>
    <row r="22" spans="1:10" x14ac:dyDescent="0.25">
      <c r="A22" t="s">
        <v>9</v>
      </c>
      <c r="B22" t="s">
        <v>151</v>
      </c>
      <c r="C22">
        <v>107.32</v>
      </c>
      <c r="D22">
        <v>0.01</v>
      </c>
      <c r="E22">
        <v>1</v>
      </c>
      <c r="F22">
        <v>0.97275999999999996</v>
      </c>
      <c r="G22">
        <f t="shared" si="4"/>
        <v>10439.660319999999</v>
      </c>
      <c r="H22">
        <f t="shared" si="1"/>
        <v>97.275999999999996</v>
      </c>
      <c r="I22">
        <f t="shared" si="2"/>
        <v>107.32</v>
      </c>
      <c r="J22">
        <f t="shared" si="3"/>
        <v>97.275999999999996</v>
      </c>
    </row>
    <row r="23" spans="1:10" x14ac:dyDescent="0.25">
      <c r="A23" t="s">
        <v>9</v>
      </c>
      <c r="B23" t="s">
        <v>152</v>
      </c>
      <c r="C23">
        <v>107.81</v>
      </c>
      <c r="D23">
        <v>0.01</v>
      </c>
      <c r="E23">
        <v>1</v>
      </c>
      <c r="F23">
        <v>0.97275999999999996</v>
      </c>
      <c r="G23">
        <f t="shared" si="4"/>
        <v>10487.325559999999</v>
      </c>
      <c r="H23">
        <f t="shared" si="1"/>
        <v>97.275999999999996</v>
      </c>
      <c r="I23">
        <f t="shared" si="2"/>
        <v>107.81</v>
      </c>
      <c r="J23">
        <f t="shared" si="3"/>
        <v>97.275999999999996</v>
      </c>
    </row>
    <row r="24" spans="1:10" x14ac:dyDescent="0.25">
      <c r="A24" t="s">
        <v>10</v>
      </c>
      <c r="B24" t="s">
        <v>153</v>
      </c>
      <c r="C24">
        <v>92.2</v>
      </c>
      <c r="D24">
        <v>0.01</v>
      </c>
      <c r="E24">
        <v>1</v>
      </c>
      <c r="F24">
        <v>0.97275999999999996</v>
      </c>
      <c r="G24">
        <f t="shared" si="4"/>
        <v>8968.8472000000002</v>
      </c>
      <c r="H24">
        <f t="shared" si="1"/>
        <v>97.275999999999996</v>
      </c>
      <c r="I24">
        <f t="shared" si="2"/>
        <v>92.2</v>
      </c>
      <c r="J24">
        <f t="shared" si="3"/>
        <v>97.275999999999996</v>
      </c>
    </row>
    <row r="25" spans="1:10" x14ac:dyDescent="0.25">
      <c r="A25" t="s">
        <v>10</v>
      </c>
      <c r="B25" t="s">
        <v>154</v>
      </c>
      <c r="C25">
        <v>94.11</v>
      </c>
      <c r="D25">
        <v>0.01</v>
      </c>
      <c r="E25">
        <v>1</v>
      </c>
      <c r="F25">
        <v>0.97275999999999996</v>
      </c>
      <c r="G25">
        <f t="shared" si="4"/>
        <v>9154.6443600000002</v>
      </c>
      <c r="H25">
        <f t="shared" si="1"/>
        <v>97.275999999999996</v>
      </c>
      <c r="I25">
        <f t="shared" si="2"/>
        <v>94.11</v>
      </c>
      <c r="J25">
        <f t="shared" si="3"/>
        <v>97.275999999999996</v>
      </c>
    </row>
    <row r="26" spans="1:10" x14ac:dyDescent="0.25">
      <c r="A26" t="s">
        <v>11</v>
      </c>
      <c r="B26" t="s">
        <v>155</v>
      </c>
      <c r="C26">
        <v>74.97</v>
      </c>
      <c r="D26">
        <v>0.01</v>
      </c>
      <c r="E26">
        <v>1</v>
      </c>
      <c r="F26">
        <v>0.97275999999999996</v>
      </c>
      <c r="G26">
        <f t="shared" si="4"/>
        <v>7292.78172</v>
      </c>
      <c r="H26">
        <f t="shared" si="1"/>
        <v>97.275999999999996</v>
      </c>
      <c r="I26">
        <f t="shared" si="2"/>
        <v>74.97</v>
      </c>
      <c r="J26">
        <f t="shared" si="3"/>
        <v>97.275999999999996</v>
      </c>
    </row>
    <row r="27" spans="1:10" x14ac:dyDescent="0.25">
      <c r="A27" t="s">
        <v>11</v>
      </c>
      <c r="B27" t="s">
        <v>156</v>
      </c>
      <c r="C27">
        <v>74.42</v>
      </c>
      <c r="D27">
        <v>0.01</v>
      </c>
      <c r="E27">
        <v>1</v>
      </c>
      <c r="F27">
        <v>0.97275999999999996</v>
      </c>
      <c r="G27">
        <f t="shared" si="4"/>
        <v>7239.2799199999999</v>
      </c>
      <c r="H27">
        <f t="shared" si="1"/>
        <v>97.275999999999996</v>
      </c>
      <c r="I27">
        <f t="shared" si="2"/>
        <v>74.42</v>
      </c>
      <c r="J27">
        <f t="shared" si="3"/>
        <v>97.275999999999996</v>
      </c>
    </row>
    <row r="28" spans="1:10" x14ac:dyDescent="0.25">
      <c r="A28" t="s">
        <v>11</v>
      </c>
      <c r="B28" t="s">
        <v>157</v>
      </c>
      <c r="C28">
        <v>74.59</v>
      </c>
      <c r="D28">
        <v>0.01</v>
      </c>
      <c r="E28">
        <v>1</v>
      </c>
      <c r="F28">
        <v>0.97275999999999996</v>
      </c>
      <c r="G28">
        <f t="shared" si="4"/>
        <v>7255.8168400000004</v>
      </c>
      <c r="H28">
        <f t="shared" si="1"/>
        <v>97.275999999999996</v>
      </c>
      <c r="I28">
        <f t="shared" si="2"/>
        <v>74.59</v>
      </c>
      <c r="J28">
        <f t="shared" si="3"/>
        <v>97.275999999999996</v>
      </c>
    </row>
    <row r="29" spans="1:10" x14ac:dyDescent="0.25">
      <c r="A29" t="s">
        <v>11</v>
      </c>
      <c r="B29" t="s">
        <v>158</v>
      </c>
      <c r="C29">
        <v>75.19</v>
      </c>
      <c r="D29">
        <v>0.01</v>
      </c>
      <c r="E29">
        <v>1</v>
      </c>
      <c r="F29">
        <v>0.97275999999999996</v>
      </c>
      <c r="G29">
        <f t="shared" si="4"/>
        <v>7314.1824399999996</v>
      </c>
      <c r="H29">
        <f t="shared" si="1"/>
        <v>97.275999999999996</v>
      </c>
      <c r="I29">
        <f t="shared" si="2"/>
        <v>75.19</v>
      </c>
      <c r="J29">
        <f t="shared" si="3"/>
        <v>97.275999999999996</v>
      </c>
    </row>
    <row r="30" spans="1:10" x14ac:dyDescent="0.25">
      <c r="A30" t="s">
        <v>11</v>
      </c>
      <c r="B30" t="s">
        <v>159</v>
      </c>
      <c r="C30">
        <v>75.19</v>
      </c>
      <c r="D30">
        <v>0.01</v>
      </c>
      <c r="E30">
        <v>1</v>
      </c>
      <c r="F30">
        <v>0.97275999999999996</v>
      </c>
      <c r="G30">
        <f t="shared" si="4"/>
        <v>7314.1824399999996</v>
      </c>
      <c r="H30">
        <f t="shared" si="1"/>
        <v>97.275999999999996</v>
      </c>
      <c r="I30">
        <f t="shared" si="2"/>
        <v>75.19</v>
      </c>
      <c r="J30">
        <f t="shared" si="3"/>
        <v>97.275999999999996</v>
      </c>
    </row>
    <row r="31" spans="1:10" x14ac:dyDescent="0.25">
      <c r="A31" t="s">
        <v>11</v>
      </c>
      <c r="B31" t="s">
        <v>160</v>
      </c>
      <c r="C31">
        <v>73.66</v>
      </c>
      <c r="D31">
        <v>0.01</v>
      </c>
      <c r="E31">
        <v>1</v>
      </c>
      <c r="F31">
        <v>0.97275999999999996</v>
      </c>
      <c r="G31">
        <f t="shared" si="4"/>
        <v>7165.3501599999991</v>
      </c>
      <c r="H31">
        <f t="shared" si="1"/>
        <v>97.275999999999996</v>
      </c>
      <c r="I31">
        <f t="shared" si="2"/>
        <v>73.66</v>
      </c>
      <c r="J31">
        <f t="shared" si="3"/>
        <v>97.275999999999996</v>
      </c>
    </row>
    <row r="32" spans="1:10" x14ac:dyDescent="0.25">
      <c r="A32" t="s">
        <v>12</v>
      </c>
      <c r="B32" t="s">
        <v>161</v>
      </c>
      <c r="C32">
        <v>2539</v>
      </c>
      <c r="D32">
        <v>1</v>
      </c>
      <c r="E32">
        <v>1</v>
      </c>
      <c r="F32">
        <v>1</v>
      </c>
      <c r="G32">
        <f t="shared" si="4"/>
        <v>2539</v>
      </c>
      <c r="H32">
        <f t="shared" si="1"/>
        <v>1</v>
      </c>
      <c r="I32">
        <f t="shared" si="2"/>
        <v>2539</v>
      </c>
      <c r="J32">
        <f t="shared" si="3"/>
        <v>1</v>
      </c>
    </row>
    <row r="33" spans="1:10" x14ac:dyDescent="0.25">
      <c r="A33" t="s">
        <v>12</v>
      </c>
      <c r="B33" t="s">
        <v>162</v>
      </c>
      <c r="C33">
        <v>2513</v>
      </c>
      <c r="D33">
        <v>1</v>
      </c>
      <c r="E33">
        <v>1</v>
      </c>
      <c r="F33">
        <v>1</v>
      </c>
      <c r="G33">
        <f t="shared" si="4"/>
        <v>2513</v>
      </c>
      <c r="H33">
        <f t="shared" si="1"/>
        <v>1</v>
      </c>
      <c r="I33">
        <f t="shared" si="2"/>
        <v>2513</v>
      </c>
      <c r="J33">
        <f t="shared" si="3"/>
        <v>1</v>
      </c>
    </row>
    <row r="34" spans="1:10" x14ac:dyDescent="0.25">
      <c r="A34" t="s">
        <v>13</v>
      </c>
      <c r="B34" t="s">
        <v>163</v>
      </c>
      <c r="C34">
        <v>75.09</v>
      </c>
      <c r="D34">
        <v>0.01</v>
      </c>
      <c r="E34">
        <v>10</v>
      </c>
      <c r="F34">
        <v>9.7276199999999999</v>
      </c>
      <c r="G34">
        <f t="shared" si="4"/>
        <v>73044.698579999997</v>
      </c>
      <c r="H34">
        <f t="shared" si="1"/>
        <v>972.76199999999994</v>
      </c>
      <c r="I34">
        <f t="shared" si="2"/>
        <v>75.09</v>
      </c>
      <c r="J34">
        <f t="shared" si="3"/>
        <v>972.76199999999994</v>
      </c>
    </row>
    <row r="35" spans="1:10" x14ac:dyDescent="0.25">
      <c r="A35" t="s">
        <v>13</v>
      </c>
      <c r="B35" t="s">
        <v>164</v>
      </c>
      <c r="C35">
        <v>75.400000000000006</v>
      </c>
      <c r="D35">
        <v>0.01</v>
      </c>
      <c r="E35">
        <v>10</v>
      </c>
      <c r="F35">
        <v>9.7276199999999999</v>
      </c>
      <c r="G35">
        <f t="shared" si="4"/>
        <v>73346.254799999995</v>
      </c>
      <c r="H35">
        <f t="shared" si="1"/>
        <v>972.76199999999994</v>
      </c>
      <c r="I35">
        <f t="shared" si="2"/>
        <v>75.400000000000006</v>
      </c>
      <c r="J35">
        <f t="shared" si="3"/>
        <v>972.76199999999994</v>
      </c>
    </row>
    <row r="36" spans="1:10" x14ac:dyDescent="0.25">
      <c r="A36" t="s">
        <v>13</v>
      </c>
      <c r="B36" t="s">
        <v>165</v>
      </c>
      <c r="C36">
        <v>74.930000000000007</v>
      </c>
      <c r="D36">
        <v>0.01</v>
      </c>
      <c r="E36">
        <v>10</v>
      </c>
      <c r="F36">
        <v>9.7276199999999999</v>
      </c>
      <c r="G36">
        <f t="shared" si="4"/>
        <v>72889.056660000002</v>
      </c>
      <c r="H36">
        <f t="shared" si="1"/>
        <v>972.76199999999994</v>
      </c>
      <c r="I36">
        <f t="shared" si="2"/>
        <v>74.930000000000007</v>
      </c>
      <c r="J36">
        <f t="shared" si="3"/>
        <v>972.76199999999994</v>
      </c>
    </row>
    <row r="37" spans="1:10" x14ac:dyDescent="0.25">
      <c r="A37" t="s">
        <v>13</v>
      </c>
      <c r="B37" t="s">
        <v>166</v>
      </c>
      <c r="C37">
        <v>74.45</v>
      </c>
      <c r="D37">
        <v>0.01</v>
      </c>
      <c r="E37">
        <v>10</v>
      </c>
      <c r="F37">
        <v>9.7276199999999999</v>
      </c>
      <c r="G37">
        <f t="shared" si="4"/>
        <v>72422.130900000004</v>
      </c>
      <c r="H37">
        <f t="shared" si="1"/>
        <v>972.76199999999994</v>
      </c>
      <c r="I37">
        <f t="shared" si="2"/>
        <v>74.45</v>
      </c>
      <c r="J37">
        <f t="shared" si="3"/>
        <v>972.76199999999994</v>
      </c>
    </row>
    <row r="38" spans="1:10" x14ac:dyDescent="0.25">
      <c r="A38" t="s">
        <v>13</v>
      </c>
      <c r="B38" t="s">
        <v>167</v>
      </c>
      <c r="C38">
        <v>74.209999999999994</v>
      </c>
      <c r="D38">
        <v>0.01</v>
      </c>
      <c r="E38">
        <v>10</v>
      </c>
      <c r="F38">
        <v>9.7276199999999999</v>
      </c>
      <c r="G38">
        <f t="shared" si="4"/>
        <v>72188.668019999983</v>
      </c>
      <c r="H38">
        <f t="shared" si="1"/>
        <v>972.76199999999994</v>
      </c>
      <c r="I38">
        <f t="shared" si="2"/>
        <v>74.20999999999998</v>
      </c>
      <c r="J38">
        <f t="shared" si="3"/>
        <v>972.76199999999994</v>
      </c>
    </row>
    <row r="39" spans="1:10" x14ac:dyDescent="0.25">
      <c r="A39" t="s">
        <v>13</v>
      </c>
      <c r="B39" t="s">
        <v>168</v>
      </c>
      <c r="C39">
        <v>74.63</v>
      </c>
      <c r="D39">
        <v>0.01</v>
      </c>
      <c r="E39">
        <v>10</v>
      </c>
      <c r="F39">
        <v>9.7276199999999999</v>
      </c>
      <c r="G39">
        <f t="shared" si="4"/>
        <v>72597.228059999994</v>
      </c>
      <c r="H39">
        <f t="shared" si="1"/>
        <v>972.76199999999994</v>
      </c>
      <c r="I39">
        <f t="shared" si="2"/>
        <v>74.63</v>
      </c>
      <c r="J39">
        <f t="shared" si="3"/>
        <v>972.76199999999994</v>
      </c>
    </row>
    <row r="40" spans="1:10" x14ac:dyDescent="0.25">
      <c r="A40" t="s">
        <v>13</v>
      </c>
      <c r="B40" t="s">
        <v>169</v>
      </c>
      <c r="C40">
        <v>74.72</v>
      </c>
      <c r="D40">
        <v>0.01</v>
      </c>
      <c r="E40">
        <v>10</v>
      </c>
      <c r="F40">
        <v>9.7276199999999999</v>
      </c>
      <c r="G40">
        <f t="shared" si="4"/>
        <v>72684.776639999996</v>
      </c>
      <c r="H40">
        <f t="shared" si="1"/>
        <v>972.76199999999994</v>
      </c>
      <c r="I40">
        <f t="shared" si="2"/>
        <v>74.72</v>
      </c>
      <c r="J40">
        <f t="shared" si="3"/>
        <v>972.76199999999994</v>
      </c>
    </row>
    <row r="41" spans="1:10" x14ac:dyDescent="0.25">
      <c r="A41" t="s">
        <v>13</v>
      </c>
      <c r="B41" t="s">
        <v>170</v>
      </c>
      <c r="C41">
        <v>75.2</v>
      </c>
      <c r="D41">
        <v>0.01</v>
      </c>
      <c r="E41">
        <v>10</v>
      </c>
      <c r="F41">
        <v>9.7276199999999999</v>
      </c>
      <c r="G41">
        <f t="shared" si="4"/>
        <v>73151.702399999995</v>
      </c>
      <c r="H41">
        <f t="shared" si="1"/>
        <v>972.76199999999994</v>
      </c>
      <c r="I41">
        <f t="shared" si="2"/>
        <v>75.2</v>
      </c>
      <c r="J41">
        <f t="shared" si="3"/>
        <v>972.76199999999994</v>
      </c>
    </row>
    <row r="42" spans="1:10" x14ac:dyDescent="0.25">
      <c r="A42" t="s">
        <v>13</v>
      </c>
      <c r="B42" t="s">
        <v>171</v>
      </c>
      <c r="C42">
        <v>74.42</v>
      </c>
      <c r="D42">
        <v>0.01</v>
      </c>
      <c r="E42">
        <v>10</v>
      </c>
      <c r="F42">
        <v>9.7276199999999999</v>
      </c>
      <c r="G42">
        <f t="shared" si="4"/>
        <v>72392.948040000003</v>
      </c>
      <c r="H42">
        <f t="shared" si="1"/>
        <v>972.76199999999994</v>
      </c>
      <c r="I42">
        <f t="shared" si="2"/>
        <v>74.42</v>
      </c>
      <c r="J42">
        <f t="shared" si="3"/>
        <v>972.76199999999994</v>
      </c>
    </row>
    <row r="43" spans="1:10" x14ac:dyDescent="0.25">
      <c r="A43" t="s">
        <v>13</v>
      </c>
      <c r="B43" t="s">
        <v>172</v>
      </c>
      <c r="C43">
        <v>74.650000000000006</v>
      </c>
      <c r="D43">
        <v>0.01</v>
      </c>
      <c r="E43">
        <v>10</v>
      </c>
      <c r="F43">
        <v>9.7276199999999999</v>
      </c>
      <c r="G43">
        <f t="shared" si="4"/>
        <v>72616.683300000004</v>
      </c>
      <c r="H43">
        <f t="shared" si="1"/>
        <v>972.76199999999994</v>
      </c>
      <c r="I43">
        <f t="shared" si="2"/>
        <v>74.650000000000006</v>
      </c>
      <c r="J43">
        <f t="shared" si="3"/>
        <v>972.76199999999994</v>
      </c>
    </row>
    <row r="44" spans="1:10" x14ac:dyDescent="0.25">
      <c r="A44" t="s">
        <v>13</v>
      </c>
      <c r="B44" t="s">
        <v>173</v>
      </c>
      <c r="C44">
        <v>75.23</v>
      </c>
      <c r="D44">
        <v>0.01</v>
      </c>
      <c r="E44">
        <v>10</v>
      </c>
      <c r="F44">
        <v>9.7276199999999999</v>
      </c>
      <c r="G44">
        <f t="shared" si="4"/>
        <v>73180.885259999995</v>
      </c>
      <c r="H44">
        <f t="shared" si="1"/>
        <v>972.76199999999994</v>
      </c>
      <c r="I44">
        <f t="shared" si="2"/>
        <v>75.23</v>
      </c>
      <c r="J44">
        <f t="shared" si="3"/>
        <v>972.76199999999994</v>
      </c>
    </row>
    <row r="45" spans="1:10" x14ac:dyDescent="0.25">
      <c r="A45" t="s">
        <v>13</v>
      </c>
      <c r="B45" t="s">
        <v>174</v>
      </c>
      <c r="C45">
        <v>75.150000000000006</v>
      </c>
      <c r="D45">
        <v>0.01</v>
      </c>
      <c r="E45">
        <v>10</v>
      </c>
      <c r="F45">
        <v>9.7276199999999999</v>
      </c>
      <c r="G45">
        <f t="shared" si="4"/>
        <v>73103.064299999998</v>
      </c>
      <c r="H45">
        <f t="shared" si="1"/>
        <v>972.76199999999994</v>
      </c>
      <c r="I45">
        <f t="shared" si="2"/>
        <v>75.150000000000006</v>
      </c>
      <c r="J45">
        <f t="shared" si="3"/>
        <v>972.76199999999994</v>
      </c>
    </row>
    <row r="46" spans="1:10" x14ac:dyDescent="0.25">
      <c r="A46" t="s">
        <v>14</v>
      </c>
      <c r="B46" t="s">
        <v>175</v>
      </c>
      <c r="C46">
        <v>3856</v>
      </c>
      <c r="D46">
        <v>1</v>
      </c>
      <c r="E46">
        <v>10</v>
      </c>
      <c r="F46">
        <v>1</v>
      </c>
      <c r="G46">
        <f t="shared" si="4"/>
        <v>3856</v>
      </c>
      <c r="H46">
        <f t="shared" si="1"/>
        <v>1</v>
      </c>
      <c r="I46">
        <f t="shared" si="2"/>
        <v>3856</v>
      </c>
      <c r="J46">
        <f t="shared" si="3"/>
        <v>1</v>
      </c>
    </row>
    <row r="47" spans="1:10" x14ac:dyDescent="0.25">
      <c r="A47" t="s">
        <v>14</v>
      </c>
      <c r="B47" t="s">
        <v>176</v>
      </c>
      <c r="C47">
        <v>3827</v>
      </c>
      <c r="D47">
        <v>1</v>
      </c>
      <c r="E47">
        <v>10</v>
      </c>
      <c r="F47">
        <v>1</v>
      </c>
      <c r="G47">
        <f t="shared" si="4"/>
        <v>3827</v>
      </c>
      <c r="H47">
        <f t="shared" si="1"/>
        <v>1</v>
      </c>
      <c r="I47">
        <f t="shared" si="2"/>
        <v>3827</v>
      </c>
      <c r="J47">
        <f t="shared" si="3"/>
        <v>1</v>
      </c>
    </row>
    <row r="48" spans="1:10" x14ac:dyDescent="0.25">
      <c r="A48" t="s">
        <v>15</v>
      </c>
      <c r="B48" t="s">
        <v>177</v>
      </c>
      <c r="C48">
        <v>29.47</v>
      </c>
      <c r="D48">
        <v>0.01</v>
      </c>
      <c r="E48">
        <v>1000</v>
      </c>
      <c r="F48">
        <v>10</v>
      </c>
      <c r="G48">
        <f t="shared" si="4"/>
        <v>29470</v>
      </c>
      <c r="H48">
        <f t="shared" si="1"/>
        <v>1000</v>
      </c>
      <c r="I48">
        <f t="shared" si="2"/>
        <v>29.47</v>
      </c>
      <c r="J48">
        <f t="shared" si="3"/>
        <v>1000</v>
      </c>
    </row>
    <row r="49" spans="1:10" x14ac:dyDescent="0.25">
      <c r="A49" t="s">
        <v>15</v>
      </c>
      <c r="B49" t="s">
        <v>178</v>
      </c>
      <c r="C49">
        <v>30.65</v>
      </c>
      <c r="D49">
        <v>0.01</v>
      </c>
      <c r="E49">
        <v>1000</v>
      </c>
      <c r="F49">
        <v>10</v>
      </c>
      <c r="G49">
        <f t="shared" si="4"/>
        <v>30650</v>
      </c>
      <c r="H49">
        <f t="shared" si="1"/>
        <v>1000</v>
      </c>
      <c r="I49">
        <f t="shared" si="2"/>
        <v>30.65</v>
      </c>
      <c r="J49">
        <f t="shared" si="3"/>
        <v>1000</v>
      </c>
    </row>
    <row r="50" spans="1:10" x14ac:dyDescent="0.25">
      <c r="A50" t="s">
        <v>16</v>
      </c>
      <c r="B50" t="s">
        <v>179</v>
      </c>
      <c r="C50">
        <v>1.4271</v>
      </c>
      <c r="D50">
        <v>1E-4</v>
      </c>
      <c r="E50">
        <v>1000</v>
      </c>
      <c r="F50">
        <v>6.7920800000000003</v>
      </c>
      <c r="G50">
        <f t="shared" si="4"/>
        <v>96929.773680000013</v>
      </c>
      <c r="H50">
        <f t="shared" si="1"/>
        <v>67920.800000000003</v>
      </c>
      <c r="I50">
        <f t="shared" si="2"/>
        <v>1.4271</v>
      </c>
      <c r="J50">
        <f t="shared" si="3"/>
        <v>67920.800000000003</v>
      </c>
    </row>
    <row r="51" spans="1:10" x14ac:dyDescent="0.25">
      <c r="A51" t="s">
        <v>16</v>
      </c>
      <c r="B51" t="s">
        <v>180</v>
      </c>
      <c r="C51">
        <v>1.4275</v>
      </c>
      <c r="D51">
        <v>1E-4</v>
      </c>
      <c r="E51">
        <v>1000</v>
      </c>
      <c r="F51">
        <v>6.7920800000000003</v>
      </c>
      <c r="G51">
        <f t="shared" si="4"/>
        <v>96956.94200000001</v>
      </c>
      <c r="H51">
        <f t="shared" si="1"/>
        <v>67920.800000000003</v>
      </c>
      <c r="I51">
        <f t="shared" si="2"/>
        <v>1.4275</v>
      </c>
      <c r="J51">
        <f t="shared" si="3"/>
        <v>67920.800000000003</v>
      </c>
    </row>
    <row r="52" spans="1:10" x14ac:dyDescent="0.25">
      <c r="A52" t="s">
        <v>17</v>
      </c>
      <c r="B52" t="s">
        <v>181</v>
      </c>
      <c r="C52">
        <v>990</v>
      </c>
      <c r="D52">
        <v>0.1</v>
      </c>
      <c r="E52">
        <v>10</v>
      </c>
      <c r="F52">
        <v>1</v>
      </c>
      <c r="G52">
        <f t="shared" si="4"/>
        <v>9900</v>
      </c>
      <c r="H52">
        <f t="shared" si="1"/>
        <v>10</v>
      </c>
      <c r="I52">
        <f t="shared" si="2"/>
        <v>990</v>
      </c>
      <c r="J52">
        <f t="shared" si="3"/>
        <v>10</v>
      </c>
    </row>
    <row r="53" spans="1:10" x14ac:dyDescent="0.25">
      <c r="A53" t="s">
        <v>17</v>
      </c>
      <c r="B53" t="s">
        <v>182</v>
      </c>
      <c r="C53">
        <v>999.9</v>
      </c>
      <c r="D53">
        <v>0.1</v>
      </c>
      <c r="E53">
        <v>10</v>
      </c>
      <c r="F53">
        <v>1</v>
      </c>
      <c r="G53">
        <f t="shared" si="4"/>
        <v>9999</v>
      </c>
      <c r="H53">
        <f t="shared" si="1"/>
        <v>10</v>
      </c>
      <c r="I53">
        <f t="shared" si="2"/>
        <v>999.9</v>
      </c>
      <c r="J53">
        <f t="shared" si="3"/>
        <v>10</v>
      </c>
    </row>
    <row r="54" spans="1:10" x14ac:dyDescent="0.25">
      <c r="A54" t="s">
        <v>17</v>
      </c>
      <c r="B54" t="s">
        <v>183</v>
      </c>
      <c r="C54">
        <v>1035.0999999999999</v>
      </c>
      <c r="D54">
        <v>0.1</v>
      </c>
      <c r="E54">
        <v>10</v>
      </c>
      <c r="F54">
        <v>1</v>
      </c>
      <c r="G54">
        <f t="shared" si="4"/>
        <v>10351</v>
      </c>
      <c r="H54">
        <f t="shared" si="1"/>
        <v>10</v>
      </c>
      <c r="I54">
        <f t="shared" si="2"/>
        <v>1035.0999999999999</v>
      </c>
      <c r="J54">
        <f t="shared" si="3"/>
        <v>10</v>
      </c>
    </row>
    <row r="55" spans="1:10" x14ac:dyDescent="0.25">
      <c r="A55" t="s">
        <v>18</v>
      </c>
      <c r="B55" t="s">
        <v>184</v>
      </c>
      <c r="C55">
        <v>9436</v>
      </c>
      <c r="D55">
        <v>1</v>
      </c>
      <c r="E55">
        <v>10</v>
      </c>
      <c r="F55">
        <v>0.97275999999999996</v>
      </c>
      <c r="G55">
        <f t="shared" si="4"/>
        <v>9178.9633599999997</v>
      </c>
      <c r="H55">
        <f t="shared" si="1"/>
        <v>0.97275999999999996</v>
      </c>
      <c r="I55">
        <f t="shared" si="2"/>
        <v>9436</v>
      </c>
      <c r="J55">
        <f t="shared" si="3"/>
        <v>0.97275999999999996</v>
      </c>
    </row>
    <row r="56" spans="1:10" x14ac:dyDescent="0.25">
      <c r="A56" t="s">
        <v>18</v>
      </c>
      <c r="B56" t="s">
        <v>185</v>
      </c>
      <c r="C56">
        <v>9648</v>
      </c>
      <c r="D56">
        <v>1</v>
      </c>
      <c r="E56">
        <v>10</v>
      </c>
      <c r="F56">
        <v>0.97275999999999996</v>
      </c>
      <c r="G56">
        <f t="shared" si="4"/>
        <v>9385.1884799999989</v>
      </c>
      <c r="H56">
        <f t="shared" si="1"/>
        <v>0.97275999999999996</v>
      </c>
      <c r="I56">
        <f t="shared" si="2"/>
        <v>9648</v>
      </c>
      <c r="J56">
        <f t="shared" si="3"/>
        <v>0.97275999999999996</v>
      </c>
    </row>
    <row r="57" spans="1:10" x14ac:dyDescent="0.25">
      <c r="A57" t="s">
        <v>19</v>
      </c>
      <c r="B57" t="s">
        <v>186</v>
      </c>
      <c r="C57">
        <v>0.90410000000000001</v>
      </c>
      <c r="D57">
        <v>1E-4</v>
      </c>
      <c r="E57">
        <v>1000</v>
      </c>
      <c r="F57">
        <v>10.74638</v>
      </c>
      <c r="G57">
        <f t="shared" si="4"/>
        <v>97158.021580000001</v>
      </c>
      <c r="H57">
        <f t="shared" si="1"/>
        <v>107463.8</v>
      </c>
      <c r="I57">
        <f t="shared" si="2"/>
        <v>0.90410000000000001</v>
      </c>
      <c r="J57">
        <f t="shared" si="3"/>
        <v>107463.8</v>
      </c>
    </row>
    <row r="58" spans="1:10" x14ac:dyDescent="0.25">
      <c r="A58" t="s">
        <v>19</v>
      </c>
      <c r="B58" t="s">
        <v>187</v>
      </c>
      <c r="C58">
        <v>0.90039999999999998</v>
      </c>
      <c r="D58">
        <v>1E-4</v>
      </c>
      <c r="E58">
        <v>1000</v>
      </c>
      <c r="F58">
        <v>10.74638</v>
      </c>
      <c r="G58">
        <f t="shared" si="4"/>
        <v>96760.40552</v>
      </c>
      <c r="H58">
        <f t="shared" si="1"/>
        <v>107463.8</v>
      </c>
      <c r="I58">
        <f t="shared" si="2"/>
        <v>0.90039999999999998</v>
      </c>
      <c r="J58">
        <f t="shared" si="3"/>
        <v>107463.8</v>
      </c>
    </row>
    <row r="59" spans="1:10" x14ac:dyDescent="0.25">
      <c r="A59" t="s">
        <v>20</v>
      </c>
      <c r="B59" t="s">
        <v>188</v>
      </c>
      <c r="C59">
        <v>123323</v>
      </c>
      <c r="D59">
        <v>1</v>
      </c>
      <c r="E59">
        <v>100</v>
      </c>
      <c r="F59">
        <v>1</v>
      </c>
      <c r="G59">
        <f t="shared" si="4"/>
        <v>123323</v>
      </c>
      <c r="H59">
        <f t="shared" si="1"/>
        <v>1</v>
      </c>
      <c r="I59">
        <f t="shared" si="2"/>
        <v>123323</v>
      </c>
      <c r="J59">
        <f t="shared" si="3"/>
        <v>1</v>
      </c>
    </row>
    <row r="60" spans="1:10" x14ac:dyDescent="0.25">
      <c r="A60" t="s">
        <v>20</v>
      </c>
      <c r="B60" t="s">
        <v>189</v>
      </c>
      <c r="C60">
        <v>125824</v>
      </c>
      <c r="D60">
        <v>1</v>
      </c>
      <c r="E60">
        <v>100</v>
      </c>
      <c r="F60">
        <v>1</v>
      </c>
      <c r="G60">
        <f t="shared" si="4"/>
        <v>125824</v>
      </c>
      <c r="H60">
        <f t="shared" si="1"/>
        <v>1</v>
      </c>
      <c r="I60">
        <f t="shared" si="2"/>
        <v>125824</v>
      </c>
      <c r="J60">
        <f t="shared" si="3"/>
        <v>1</v>
      </c>
    </row>
    <row r="61" spans="1:10" x14ac:dyDescent="0.25">
      <c r="A61" t="s">
        <v>21</v>
      </c>
      <c r="B61" t="s">
        <v>190</v>
      </c>
      <c r="C61">
        <v>9146</v>
      </c>
      <c r="D61">
        <v>1</v>
      </c>
      <c r="E61">
        <v>1000</v>
      </c>
      <c r="F61">
        <v>1</v>
      </c>
      <c r="G61">
        <f t="shared" si="4"/>
        <v>9146</v>
      </c>
      <c r="H61">
        <f t="shared" si="1"/>
        <v>1</v>
      </c>
      <c r="I61">
        <f t="shared" si="2"/>
        <v>9146</v>
      </c>
      <c r="J61">
        <f t="shared" si="3"/>
        <v>1</v>
      </c>
    </row>
    <row r="62" spans="1:10" x14ac:dyDescent="0.25">
      <c r="A62" t="s">
        <v>21</v>
      </c>
      <c r="B62" t="s">
        <v>191</v>
      </c>
      <c r="C62">
        <v>9360</v>
      </c>
      <c r="D62">
        <v>1</v>
      </c>
      <c r="E62">
        <v>1000</v>
      </c>
      <c r="F62">
        <v>1</v>
      </c>
      <c r="G62">
        <f t="shared" si="4"/>
        <v>9360</v>
      </c>
      <c r="H62">
        <f t="shared" si="1"/>
        <v>1</v>
      </c>
      <c r="I62">
        <f t="shared" si="2"/>
        <v>9360</v>
      </c>
      <c r="J62">
        <f t="shared" si="3"/>
        <v>1</v>
      </c>
    </row>
    <row r="63" spans="1:10" x14ac:dyDescent="0.25">
      <c r="A63" t="s">
        <v>22</v>
      </c>
      <c r="B63" t="s">
        <v>192</v>
      </c>
      <c r="C63">
        <v>13.327</v>
      </c>
      <c r="D63">
        <v>1E-3</v>
      </c>
      <c r="E63">
        <v>1000</v>
      </c>
      <c r="F63">
        <v>1</v>
      </c>
      <c r="G63">
        <f t="shared" si="4"/>
        <v>13327</v>
      </c>
      <c r="H63">
        <f t="shared" si="1"/>
        <v>1000</v>
      </c>
      <c r="I63">
        <f t="shared" si="2"/>
        <v>13.327</v>
      </c>
      <c r="J63">
        <f t="shared" si="3"/>
        <v>1000</v>
      </c>
    </row>
    <row r="64" spans="1:10" x14ac:dyDescent="0.25">
      <c r="A64" t="s">
        <v>23</v>
      </c>
      <c r="B64" t="s">
        <v>193</v>
      </c>
      <c r="C64">
        <v>13.614000000000001</v>
      </c>
      <c r="D64">
        <v>1E-3</v>
      </c>
      <c r="E64">
        <v>1000</v>
      </c>
      <c r="F64">
        <v>1</v>
      </c>
      <c r="G64">
        <f t="shared" si="4"/>
        <v>13614</v>
      </c>
      <c r="H64">
        <f t="shared" si="1"/>
        <v>1000</v>
      </c>
      <c r="I64">
        <f t="shared" si="2"/>
        <v>13.614000000000001</v>
      </c>
      <c r="J64">
        <f t="shared" si="3"/>
        <v>1000</v>
      </c>
    </row>
    <row r="65" spans="1:10" x14ac:dyDescent="0.25">
      <c r="A65" t="s">
        <v>23</v>
      </c>
      <c r="B65" t="s">
        <v>194</v>
      </c>
      <c r="C65">
        <v>15.7</v>
      </c>
      <c r="D65">
        <v>1E-3</v>
      </c>
      <c r="E65">
        <v>1000</v>
      </c>
      <c r="F65">
        <v>1</v>
      </c>
      <c r="G65">
        <f t="shared" si="4"/>
        <v>15700</v>
      </c>
      <c r="H65">
        <f t="shared" si="1"/>
        <v>1000</v>
      </c>
      <c r="I65">
        <f t="shared" si="2"/>
        <v>15.7</v>
      </c>
      <c r="J65">
        <f t="shared" si="3"/>
        <v>1000</v>
      </c>
    </row>
    <row r="66" spans="1:10" x14ac:dyDescent="0.25">
      <c r="A66" t="s">
        <v>23</v>
      </c>
      <c r="B66" t="s">
        <v>195</v>
      </c>
      <c r="C66">
        <v>14.175000000000001</v>
      </c>
      <c r="D66">
        <v>1E-3</v>
      </c>
      <c r="E66">
        <v>1000</v>
      </c>
      <c r="F66">
        <v>1</v>
      </c>
      <c r="G66">
        <f t="shared" si="4"/>
        <v>14175</v>
      </c>
      <c r="H66">
        <f t="shared" si="1"/>
        <v>1000</v>
      </c>
      <c r="I66">
        <f t="shared" si="2"/>
        <v>14.175000000000001</v>
      </c>
      <c r="J66">
        <f t="shared" si="3"/>
        <v>1000</v>
      </c>
    </row>
    <row r="67" spans="1:10" x14ac:dyDescent="0.25">
      <c r="A67" t="s">
        <v>23</v>
      </c>
      <c r="B67" t="s">
        <v>196</v>
      </c>
      <c r="C67">
        <v>16.113</v>
      </c>
      <c r="D67">
        <v>1E-3</v>
      </c>
      <c r="E67">
        <v>1000</v>
      </c>
      <c r="F67">
        <v>1</v>
      </c>
      <c r="G67">
        <f t="shared" si="4"/>
        <v>16113</v>
      </c>
      <c r="H67">
        <f t="shared" ref="H67:H130" si="5">F67/D67</f>
        <v>1000</v>
      </c>
      <c r="I67">
        <f t="shared" ref="I67:I130" si="6">G67/H67</f>
        <v>16.113</v>
      </c>
      <c r="J67">
        <f t="shared" ref="J67:J130" si="7">F67/D67</f>
        <v>1000</v>
      </c>
    </row>
    <row r="68" spans="1:10" x14ac:dyDescent="0.25">
      <c r="A68" t="s">
        <v>23</v>
      </c>
      <c r="B68" t="s">
        <v>197</v>
      </c>
      <c r="C68">
        <v>14.59</v>
      </c>
      <c r="D68">
        <v>1E-3</v>
      </c>
      <c r="E68">
        <v>1000</v>
      </c>
      <c r="F68">
        <v>1</v>
      </c>
      <c r="G68">
        <f t="shared" si="4"/>
        <v>14590</v>
      </c>
      <c r="H68">
        <f t="shared" si="5"/>
        <v>1000</v>
      </c>
      <c r="I68">
        <f t="shared" si="6"/>
        <v>14.59</v>
      </c>
      <c r="J68">
        <f t="shared" si="7"/>
        <v>1000</v>
      </c>
    </row>
    <row r="69" spans="1:10" x14ac:dyDescent="0.25">
      <c r="A69" t="s">
        <v>23</v>
      </c>
      <c r="B69" t="s">
        <v>198</v>
      </c>
      <c r="C69">
        <v>15.102</v>
      </c>
      <c r="D69">
        <v>1E-3</v>
      </c>
      <c r="E69">
        <v>1000</v>
      </c>
      <c r="F69">
        <v>1</v>
      </c>
      <c r="G69">
        <f t="shared" si="4"/>
        <v>15102</v>
      </c>
      <c r="H69">
        <f t="shared" si="5"/>
        <v>1000</v>
      </c>
      <c r="I69">
        <f t="shared" si="6"/>
        <v>15.102</v>
      </c>
      <c r="J69">
        <f t="shared" si="7"/>
        <v>1000</v>
      </c>
    </row>
    <row r="70" spans="1:10" x14ac:dyDescent="0.25">
      <c r="A70" t="s">
        <v>24</v>
      </c>
      <c r="B70" t="s">
        <v>199</v>
      </c>
      <c r="C70">
        <v>7969</v>
      </c>
      <c r="D70">
        <v>1</v>
      </c>
      <c r="E70">
        <v>1</v>
      </c>
      <c r="F70">
        <v>1</v>
      </c>
      <c r="G70">
        <f t="shared" si="4"/>
        <v>7969</v>
      </c>
      <c r="H70">
        <f t="shared" si="5"/>
        <v>1</v>
      </c>
      <c r="I70">
        <f t="shared" si="6"/>
        <v>7969</v>
      </c>
      <c r="J70">
        <f t="shared" si="7"/>
        <v>1</v>
      </c>
    </row>
    <row r="71" spans="1:10" x14ac:dyDescent="0.25">
      <c r="A71" t="s">
        <v>24</v>
      </c>
      <c r="B71" t="s">
        <v>200</v>
      </c>
      <c r="C71">
        <v>8118</v>
      </c>
      <c r="D71">
        <v>1</v>
      </c>
      <c r="E71">
        <v>1</v>
      </c>
      <c r="F71">
        <v>1</v>
      </c>
      <c r="G71">
        <f t="shared" si="4"/>
        <v>8118</v>
      </c>
      <c r="H71">
        <f t="shared" si="5"/>
        <v>1</v>
      </c>
      <c r="I71">
        <f t="shared" si="6"/>
        <v>8118</v>
      </c>
      <c r="J71">
        <f t="shared" si="7"/>
        <v>1</v>
      </c>
    </row>
    <row r="72" spans="1:10" x14ac:dyDescent="0.25">
      <c r="A72" t="s">
        <v>25</v>
      </c>
      <c r="B72" t="s">
        <v>201</v>
      </c>
      <c r="C72">
        <v>448.9</v>
      </c>
      <c r="D72">
        <v>0.1</v>
      </c>
      <c r="E72">
        <v>1</v>
      </c>
      <c r="F72">
        <v>9.7276199999999999</v>
      </c>
      <c r="G72">
        <f t="shared" si="4"/>
        <v>43667.286179999996</v>
      </c>
      <c r="H72">
        <f t="shared" si="5"/>
        <v>97.276199999999989</v>
      </c>
      <c r="I72">
        <f t="shared" si="6"/>
        <v>448.90000000000003</v>
      </c>
      <c r="J72">
        <f t="shared" si="7"/>
        <v>97.276199999999989</v>
      </c>
    </row>
    <row r="73" spans="1:10" x14ac:dyDescent="0.25">
      <c r="A73" t="s">
        <v>25</v>
      </c>
      <c r="B73" t="s">
        <v>202</v>
      </c>
      <c r="C73">
        <v>452.3</v>
      </c>
      <c r="D73">
        <v>0.1</v>
      </c>
      <c r="E73">
        <v>1</v>
      </c>
      <c r="F73">
        <v>9.7276199999999999</v>
      </c>
      <c r="G73">
        <f t="shared" si="4"/>
        <v>43998.025259999995</v>
      </c>
      <c r="H73">
        <f t="shared" si="5"/>
        <v>97.276199999999989</v>
      </c>
      <c r="I73">
        <f t="shared" si="6"/>
        <v>452.3</v>
      </c>
      <c r="J73">
        <f t="shared" si="7"/>
        <v>97.276199999999989</v>
      </c>
    </row>
    <row r="74" spans="1:10" x14ac:dyDescent="0.25">
      <c r="A74" t="s">
        <v>25</v>
      </c>
      <c r="B74" t="s">
        <v>203</v>
      </c>
      <c r="C74">
        <v>469.4</v>
      </c>
      <c r="D74">
        <v>0.1</v>
      </c>
      <c r="E74">
        <v>1</v>
      </c>
      <c r="F74">
        <v>9.7276199999999999</v>
      </c>
      <c r="G74">
        <f t="shared" si="4"/>
        <v>45661.44827999999</v>
      </c>
      <c r="H74">
        <f t="shared" si="5"/>
        <v>97.276199999999989</v>
      </c>
      <c r="I74">
        <f t="shared" si="6"/>
        <v>469.39999999999992</v>
      </c>
      <c r="J74">
        <f t="shared" si="7"/>
        <v>97.276199999999989</v>
      </c>
    </row>
    <row r="75" spans="1:10" x14ac:dyDescent="0.25">
      <c r="A75" t="s">
        <v>25</v>
      </c>
      <c r="B75" t="s">
        <v>204</v>
      </c>
      <c r="C75">
        <v>477.9</v>
      </c>
      <c r="D75">
        <v>0.1</v>
      </c>
      <c r="E75">
        <v>1</v>
      </c>
      <c r="F75">
        <v>9.7276199999999999</v>
      </c>
      <c r="G75">
        <f t="shared" si="4"/>
        <v>46488.295979999995</v>
      </c>
      <c r="H75">
        <f t="shared" si="5"/>
        <v>97.276199999999989</v>
      </c>
      <c r="I75">
        <f t="shared" si="6"/>
        <v>477.90000000000003</v>
      </c>
      <c r="J75">
        <f t="shared" si="7"/>
        <v>97.276199999999989</v>
      </c>
    </row>
    <row r="76" spans="1:10" x14ac:dyDescent="0.25">
      <c r="A76" t="s">
        <v>26</v>
      </c>
      <c r="B76" t="s">
        <v>205</v>
      </c>
      <c r="C76">
        <v>17914</v>
      </c>
      <c r="D76">
        <v>1</v>
      </c>
      <c r="E76">
        <v>100</v>
      </c>
      <c r="F76">
        <v>1.01224</v>
      </c>
      <c r="G76">
        <f t="shared" si="4"/>
        <v>18133.267360000002</v>
      </c>
      <c r="H76">
        <f t="shared" si="5"/>
        <v>1.01224</v>
      </c>
      <c r="I76">
        <f t="shared" si="6"/>
        <v>17914</v>
      </c>
      <c r="J76">
        <f t="shared" si="7"/>
        <v>1.01224</v>
      </c>
    </row>
    <row r="77" spans="1:10" x14ac:dyDescent="0.25">
      <c r="A77" t="s">
        <v>26</v>
      </c>
      <c r="B77" t="s">
        <v>206</v>
      </c>
      <c r="C77">
        <v>17493</v>
      </c>
      <c r="D77">
        <v>1</v>
      </c>
      <c r="E77">
        <v>100</v>
      </c>
      <c r="F77">
        <v>1.01224</v>
      </c>
      <c r="G77">
        <f t="shared" ref="G77:G140" si="8">(F77/D77)*C77</f>
        <v>17707.114320000001</v>
      </c>
      <c r="H77">
        <f t="shared" si="5"/>
        <v>1.01224</v>
      </c>
      <c r="I77">
        <f t="shared" si="6"/>
        <v>17493</v>
      </c>
      <c r="J77">
        <f t="shared" si="7"/>
        <v>1.01224</v>
      </c>
    </row>
    <row r="78" spans="1:10" x14ac:dyDescent="0.25">
      <c r="A78" t="s">
        <v>26</v>
      </c>
      <c r="B78" t="s">
        <v>207</v>
      </c>
      <c r="C78">
        <v>16803</v>
      </c>
      <c r="D78">
        <v>1</v>
      </c>
      <c r="E78">
        <v>100</v>
      </c>
      <c r="F78">
        <v>1.01224</v>
      </c>
      <c r="G78">
        <f t="shared" si="8"/>
        <v>17008.668720000001</v>
      </c>
      <c r="H78">
        <f t="shared" si="5"/>
        <v>1.01224</v>
      </c>
      <c r="I78">
        <f t="shared" si="6"/>
        <v>16803</v>
      </c>
      <c r="J78">
        <f t="shared" si="7"/>
        <v>1.01224</v>
      </c>
    </row>
    <row r="79" spans="1:10" x14ac:dyDescent="0.25">
      <c r="A79" t="s">
        <v>26</v>
      </c>
      <c r="B79" t="s">
        <v>208</v>
      </c>
      <c r="C79">
        <v>17447</v>
      </c>
      <c r="D79">
        <v>1</v>
      </c>
      <c r="E79">
        <v>100</v>
      </c>
      <c r="F79">
        <v>1.01224</v>
      </c>
      <c r="G79">
        <f t="shared" si="8"/>
        <v>17660.55128</v>
      </c>
      <c r="H79">
        <f t="shared" si="5"/>
        <v>1.01224</v>
      </c>
      <c r="I79">
        <f t="shared" si="6"/>
        <v>17447</v>
      </c>
      <c r="J79">
        <f t="shared" si="7"/>
        <v>1.01224</v>
      </c>
    </row>
    <row r="80" spans="1:10" x14ac:dyDescent="0.25">
      <c r="A80" t="s">
        <v>27</v>
      </c>
      <c r="B80" t="s">
        <v>209</v>
      </c>
      <c r="C80">
        <v>1.4524999999999999</v>
      </c>
      <c r="D80">
        <v>1E-4</v>
      </c>
      <c r="E80">
        <v>1000</v>
      </c>
      <c r="F80">
        <v>6.7920800000000003</v>
      </c>
      <c r="G80">
        <f t="shared" si="8"/>
        <v>98654.962</v>
      </c>
      <c r="H80">
        <f t="shared" si="5"/>
        <v>67920.800000000003</v>
      </c>
      <c r="I80">
        <f t="shared" si="6"/>
        <v>1.4524999999999999</v>
      </c>
      <c r="J80">
        <f t="shared" si="7"/>
        <v>67920.800000000003</v>
      </c>
    </row>
    <row r="81" spans="1:10" x14ac:dyDescent="0.25">
      <c r="A81" t="s">
        <v>27</v>
      </c>
      <c r="B81" t="s">
        <v>210</v>
      </c>
      <c r="C81">
        <v>1.4558</v>
      </c>
      <c r="D81">
        <v>1E-4</v>
      </c>
      <c r="E81">
        <v>1000</v>
      </c>
      <c r="F81">
        <v>6.7920800000000003</v>
      </c>
      <c r="G81">
        <f t="shared" si="8"/>
        <v>98879.100640000004</v>
      </c>
      <c r="H81">
        <f t="shared" si="5"/>
        <v>67920.800000000003</v>
      </c>
      <c r="I81">
        <f t="shared" si="6"/>
        <v>1.4558</v>
      </c>
      <c r="J81">
        <f t="shared" si="7"/>
        <v>67920.800000000003</v>
      </c>
    </row>
    <row r="82" spans="1:10" x14ac:dyDescent="0.25">
      <c r="A82" t="s">
        <v>28</v>
      </c>
      <c r="B82" t="s">
        <v>211</v>
      </c>
      <c r="C82">
        <v>1.0346</v>
      </c>
      <c r="D82">
        <v>1E-4</v>
      </c>
      <c r="E82">
        <v>1000</v>
      </c>
      <c r="F82">
        <v>9.7276199999999999</v>
      </c>
      <c r="G82">
        <f t="shared" si="8"/>
        <v>100641.95651999999</v>
      </c>
      <c r="H82">
        <f t="shared" si="5"/>
        <v>97276.2</v>
      </c>
      <c r="I82">
        <f t="shared" si="6"/>
        <v>1.0346</v>
      </c>
      <c r="J82">
        <f t="shared" si="7"/>
        <v>97276.2</v>
      </c>
    </row>
    <row r="83" spans="1:10" x14ac:dyDescent="0.25">
      <c r="A83" t="s">
        <v>28</v>
      </c>
      <c r="B83" t="s">
        <v>212</v>
      </c>
      <c r="C83">
        <v>1.0248999999999999</v>
      </c>
      <c r="D83">
        <v>1E-4</v>
      </c>
      <c r="E83">
        <v>1000</v>
      </c>
      <c r="F83">
        <v>9.7276199999999999</v>
      </c>
      <c r="G83">
        <f t="shared" si="8"/>
        <v>99698.377379999991</v>
      </c>
      <c r="H83">
        <f t="shared" si="5"/>
        <v>97276.2</v>
      </c>
      <c r="I83">
        <f t="shared" si="6"/>
        <v>1.0248999999999999</v>
      </c>
      <c r="J83">
        <f t="shared" si="7"/>
        <v>97276.2</v>
      </c>
    </row>
    <row r="84" spans="1:10" x14ac:dyDescent="0.25">
      <c r="A84" t="s">
        <v>28</v>
      </c>
      <c r="B84" t="s">
        <v>213</v>
      </c>
      <c r="C84">
        <v>1.0217000000000001</v>
      </c>
      <c r="D84">
        <v>1E-4</v>
      </c>
      <c r="E84">
        <v>1000</v>
      </c>
      <c r="F84">
        <v>9.7276199999999999</v>
      </c>
      <c r="G84">
        <f t="shared" si="8"/>
        <v>99387.093540000002</v>
      </c>
      <c r="H84">
        <f t="shared" si="5"/>
        <v>97276.2</v>
      </c>
      <c r="I84">
        <f t="shared" si="6"/>
        <v>1.0217000000000001</v>
      </c>
      <c r="J84">
        <f t="shared" si="7"/>
        <v>97276.2</v>
      </c>
    </row>
    <row r="85" spans="1:10" x14ac:dyDescent="0.25">
      <c r="A85" t="s">
        <v>29</v>
      </c>
      <c r="B85" t="s">
        <v>214</v>
      </c>
      <c r="C85">
        <v>0.89510000000000001</v>
      </c>
      <c r="D85">
        <v>1E-4</v>
      </c>
      <c r="E85">
        <v>1000</v>
      </c>
      <c r="F85">
        <v>12.07587</v>
      </c>
      <c r="G85">
        <f t="shared" si="8"/>
        <v>108091.11237</v>
      </c>
      <c r="H85">
        <f t="shared" si="5"/>
        <v>120758.7</v>
      </c>
      <c r="I85">
        <f t="shared" si="6"/>
        <v>0.89510000000000001</v>
      </c>
      <c r="J85">
        <f t="shared" si="7"/>
        <v>120758.7</v>
      </c>
    </row>
    <row r="86" spans="1:10" x14ac:dyDescent="0.25">
      <c r="A86" t="s">
        <v>29</v>
      </c>
      <c r="B86" t="s">
        <v>215</v>
      </c>
      <c r="C86">
        <v>0.8972</v>
      </c>
      <c r="D86">
        <v>1E-4</v>
      </c>
      <c r="E86">
        <v>1000</v>
      </c>
      <c r="F86">
        <v>12.07587</v>
      </c>
      <c r="G86">
        <f t="shared" si="8"/>
        <v>108344.70564</v>
      </c>
      <c r="H86">
        <f t="shared" si="5"/>
        <v>120758.7</v>
      </c>
      <c r="I86">
        <f t="shared" si="6"/>
        <v>0.8972</v>
      </c>
      <c r="J86">
        <f t="shared" si="7"/>
        <v>120758.7</v>
      </c>
    </row>
    <row r="87" spans="1:10" x14ac:dyDescent="0.25">
      <c r="A87" t="s">
        <v>30</v>
      </c>
      <c r="B87" t="s">
        <v>216</v>
      </c>
      <c r="C87">
        <v>159.36000000000001</v>
      </c>
      <c r="D87">
        <v>0.01</v>
      </c>
      <c r="E87">
        <v>1000</v>
      </c>
      <c r="F87">
        <v>6.4328000000000003</v>
      </c>
      <c r="G87">
        <f t="shared" si="8"/>
        <v>102513.1008</v>
      </c>
      <c r="H87">
        <f t="shared" si="5"/>
        <v>643.28</v>
      </c>
      <c r="I87">
        <f t="shared" si="6"/>
        <v>159.36000000000001</v>
      </c>
      <c r="J87">
        <f t="shared" si="7"/>
        <v>643.28</v>
      </c>
    </row>
    <row r="88" spans="1:10" x14ac:dyDescent="0.25">
      <c r="A88" t="s">
        <v>30</v>
      </c>
      <c r="B88" t="s">
        <v>217</v>
      </c>
      <c r="C88">
        <v>159.54</v>
      </c>
      <c r="D88">
        <v>0.01</v>
      </c>
      <c r="E88">
        <v>1000</v>
      </c>
      <c r="F88">
        <v>6.4328000000000003</v>
      </c>
      <c r="G88">
        <f t="shared" si="8"/>
        <v>102628.89119999998</v>
      </c>
      <c r="H88">
        <f t="shared" si="5"/>
        <v>643.28</v>
      </c>
      <c r="I88">
        <f t="shared" si="6"/>
        <v>159.54</v>
      </c>
      <c r="J88">
        <f t="shared" si="7"/>
        <v>643.28</v>
      </c>
    </row>
    <row r="89" spans="1:10" x14ac:dyDescent="0.25">
      <c r="A89" t="s">
        <v>31</v>
      </c>
      <c r="B89" t="s">
        <v>218</v>
      </c>
      <c r="C89">
        <v>43.53</v>
      </c>
      <c r="D89">
        <v>0.01</v>
      </c>
      <c r="E89">
        <v>1</v>
      </c>
      <c r="F89">
        <v>0.97275999999999996</v>
      </c>
      <c r="G89">
        <f t="shared" si="8"/>
        <v>4234.4242800000002</v>
      </c>
      <c r="H89">
        <f t="shared" si="5"/>
        <v>97.275999999999996</v>
      </c>
      <c r="I89">
        <f t="shared" si="6"/>
        <v>43.53</v>
      </c>
      <c r="J89">
        <f t="shared" si="7"/>
        <v>97.275999999999996</v>
      </c>
    </row>
    <row r="90" spans="1:10" x14ac:dyDescent="0.25">
      <c r="A90" t="s">
        <v>31</v>
      </c>
      <c r="B90" t="s">
        <v>219</v>
      </c>
      <c r="C90">
        <v>44.54</v>
      </c>
      <c r="D90">
        <v>0.01</v>
      </c>
      <c r="E90">
        <v>1</v>
      </c>
      <c r="F90">
        <v>0.97275999999999996</v>
      </c>
      <c r="G90">
        <f t="shared" si="8"/>
        <v>4332.6730399999997</v>
      </c>
      <c r="H90">
        <f t="shared" si="5"/>
        <v>97.275999999999996</v>
      </c>
      <c r="I90">
        <f t="shared" si="6"/>
        <v>44.54</v>
      </c>
      <c r="J90">
        <f t="shared" si="7"/>
        <v>97.275999999999996</v>
      </c>
    </row>
    <row r="91" spans="1:10" x14ac:dyDescent="0.25">
      <c r="A91" t="s">
        <v>31</v>
      </c>
      <c r="B91" t="s">
        <v>220</v>
      </c>
      <c r="C91">
        <v>44.01</v>
      </c>
      <c r="D91">
        <v>0.01</v>
      </c>
      <c r="E91">
        <v>1</v>
      </c>
      <c r="F91">
        <v>0.97275999999999996</v>
      </c>
      <c r="G91">
        <f t="shared" si="8"/>
        <v>4281.1167599999999</v>
      </c>
      <c r="H91">
        <f t="shared" si="5"/>
        <v>97.275999999999996</v>
      </c>
      <c r="I91">
        <f t="shared" si="6"/>
        <v>44.01</v>
      </c>
      <c r="J91">
        <f t="shared" si="7"/>
        <v>97.275999999999996</v>
      </c>
    </row>
    <row r="92" spans="1:10" x14ac:dyDescent="0.25">
      <c r="A92" t="s">
        <v>31</v>
      </c>
      <c r="B92" t="s">
        <v>221</v>
      </c>
      <c r="C92">
        <v>43.21</v>
      </c>
      <c r="D92">
        <v>0.01</v>
      </c>
      <c r="E92">
        <v>1</v>
      </c>
      <c r="F92">
        <v>0.97275999999999996</v>
      </c>
      <c r="G92">
        <f t="shared" si="8"/>
        <v>4203.2959599999995</v>
      </c>
      <c r="H92">
        <f t="shared" si="5"/>
        <v>97.275999999999996</v>
      </c>
      <c r="I92">
        <f t="shared" si="6"/>
        <v>43.209999999999994</v>
      </c>
      <c r="J92">
        <f t="shared" si="7"/>
        <v>97.275999999999996</v>
      </c>
    </row>
    <row r="93" spans="1:10" x14ac:dyDescent="0.25">
      <c r="A93" t="s">
        <v>32</v>
      </c>
      <c r="B93" t="s">
        <v>222</v>
      </c>
      <c r="C93">
        <v>103653</v>
      </c>
      <c r="D93">
        <v>1</v>
      </c>
      <c r="E93">
        <v>1000</v>
      </c>
      <c r="F93">
        <v>1</v>
      </c>
      <c r="G93">
        <f t="shared" si="8"/>
        <v>103653</v>
      </c>
      <c r="H93">
        <f t="shared" si="5"/>
        <v>1</v>
      </c>
      <c r="I93">
        <f t="shared" si="6"/>
        <v>103653</v>
      </c>
      <c r="J93">
        <f t="shared" si="7"/>
        <v>1</v>
      </c>
    </row>
    <row r="94" spans="1:10" x14ac:dyDescent="0.25">
      <c r="A94" t="s">
        <v>32</v>
      </c>
      <c r="B94" t="s">
        <v>223</v>
      </c>
      <c r="C94">
        <v>117987</v>
      </c>
      <c r="D94">
        <v>1</v>
      </c>
      <c r="E94">
        <v>1000</v>
      </c>
      <c r="F94">
        <v>1</v>
      </c>
      <c r="G94">
        <f t="shared" si="8"/>
        <v>117987</v>
      </c>
      <c r="H94">
        <f t="shared" si="5"/>
        <v>1</v>
      </c>
      <c r="I94">
        <f t="shared" si="6"/>
        <v>117987</v>
      </c>
      <c r="J94">
        <f t="shared" si="7"/>
        <v>1</v>
      </c>
    </row>
    <row r="95" spans="1:10" x14ac:dyDescent="0.25">
      <c r="A95" t="s">
        <v>32</v>
      </c>
      <c r="B95" t="s">
        <v>224</v>
      </c>
      <c r="C95">
        <v>105400</v>
      </c>
      <c r="D95">
        <v>1</v>
      </c>
      <c r="E95">
        <v>1000</v>
      </c>
      <c r="F95">
        <v>1</v>
      </c>
      <c r="G95">
        <f t="shared" si="8"/>
        <v>105400</v>
      </c>
      <c r="H95">
        <f t="shared" si="5"/>
        <v>1</v>
      </c>
      <c r="I95">
        <f t="shared" si="6"/>
        <v>105400</v>
      </c>
      <c r="J95">
        <f t="shared" si="7"/>
        <v>1</v>
      </c>
    </row>
    <row r="96" spans="1:10" x14ac:dyDescent="0.25">
      <c r="A96" t="s">
        <v>32</v>
      </c>
      <c r="B96" t="s">
        <v>225</v>
      </c>
      <c r="C96">
        <v>122380</v>
      </c>
      <c r="D96">
        <v>1</v>
      </c>
      <c r="E96">
        <v>1000</v>
      </c>
      <c r="F96">
        <v>1</v>
      </c>
      <c r="G96">
        <f t="shared" si="8"/>
        <v>122380</v>
      </c>
      <c r="H96">
        <f t="shared" si="5"/>
        <v>1</v>
      </c>
      <c r="I96">
        <f t="shared" si="6"/>
        <v>122380</v>
      </c>
      <c r="J96">
        <f t="shared" si="7"/>
        <v>1</v>
      </c>
    </row>
    <row r="97" spans="1:10" x14ac:dyDescent="0.25">
      <c r="A97" t="s">
        <v>33</v>
      </c>
      <c r="B97" t="s">
        <v>226</v>
      </c>
      <c r="C97">
        <v>101.22</v>
      </c>
      <c r="D97">
        <v>0.01</v>
      </c>
      <c r="E97">
        <v>1000</v>
      </c>
      <c r="F97">
        <v>10</v>
      </c>
      <c r="G97">
        <f t="shared" si="8"/>
        <v>101220</v>
      </c>
      <c r="H97">
        <f t="shared" si="5"/>
        <v>1000</v>
      </c>
      <c r="I97">
        <f t="shared" si="6"/>
        <v>101.22</v>
      </c>
      <c r="J97">
        <f t="shared" si="7"/>
        <v>1000</v>
      </c>
    </row>
    <row r="98" spans="1:10" x14ac:dyDescent="0.25">
      <c r="A98" t="s">
        <v>32</v>
      </c>
      <c r="B98" t="s">
        <v>227</v>
      </c>
      <c r="C98">
        <v>108102</v>
      </c>
      <c r="D98">
        <v>1</v>
      </c>
      <c r="E98">
        <v>1000</v>
      </c>
      <c r="F98">
        <v>1</v>
      </c>
      <c r="G98">
        <f t="shared" si="8"/>
        <v>108102</v>
      </c>
      <c r="H98">
        <f t="shared" si="5"/>
        <v>1</v>
      </c>
      <c r="I98">
        <f t="shared" si="6"/>
        <v>108102</v>
      </c>
      <c r="J98">
        <f t="shared" si="7"/>
        <v>1</v>
      </c>
    </row>
    <row r="99" spans="1:10" x14ac:dyDescent="0.25">
      <c r="A99" t="s">
        <v>32</v>
      </c>
      <c r="B99" t="s">
        <v>228</v>
      </c>
      <c r="C99">
        <v>112821</v>
      </c>
      <c r="D99">
        <v>1</v>
      </c>
      <c r="E99">
        <v>1000</v>
      </c>
      <c r="F99">
        <v>1</v>
      </c>
      <c r="G99">
        <f t="shared" si="8"/>
        <v>112821</v>
      </c>
      <c r="H99">
        <f t="shared" si="5"/>
        <v>1</v>
      </c>
      <c r="I99">
        <f t="shared" si="6"/>
        <v>112821</v>
      </c>
      <c r="J99">
        <f t="shared" si="7"/>
        <v>1</v>
      </c>
    </row>
    <row r="100" spans="1:10" x14ac:dyDescent="0.25">
      <c r="A100" t="s">
        <v>34</v>
      </c>
      <c r="B100" t="s">
        <v>229</v>
      </c>
      <c r="C100">
        <v>6375</v>
      </c>
      <c r="D100">
        <v>1</v>
      </c>
      <c r="E100">
        <v>100</v>
      </c>
      <c r="F100">
        <v>1</v>
      </c>
      <c r="G100">
        <f t="shared" si="8"/>
        <v>6375</v>
      </c>
      <c r="H100">
        <f t="shared" si="5"/>
        <v>1</v>
      </c>
      <c r="I100">
        <f t="shared" si="6"/>
        <v>6375</v>
      </c>
      <c r="J100">
        <f t="shared" si="7"/>
        <v>1</v>
      </c>
    </row>
    <row r="101" spans="1:10" x14ac:dyDescent="0.25">
      <c r="A101" t="s">
        <v>34</v>
      </c>
      <c r="B101" t="s">
        <v>230</v>
      </c>
      <c r="C101">
        <v>6316</v>
      </c>
      <c r="D101">
        <v>1</v>
      </c>
      <c r="E101">
        <v>100</v>
      </c>
      <c r="F101">
        <v>1</v>
      </c>
      <c r="G101">
        <f t="shared" si="8"/>
        <v>6316</v>
      </c>
      <c r="H101">
        <f t="shared" si="5"/>
        <v>1</v>
      </c>
      <c r="I101">
        <f t="shared" si="6"/>
        <v>6316</v>
      </c>
      <c r="J101">
        <f t="shared" si="7"/>
        <v>1</v>
      </c>
    </row>
    <row r="102" spans="1:10" x14ac:dyDescent="0.25">
      <c r="A102" t="s">
        <v>35</v>
      </c>
      <c r="B102" t="s">
        <v>231</v>
      </c>
      <c r="C102">
        <v>8898</v>
      </c>
      <c r="D102">
        <v>1</v>
      </c>
      <c r="E102">
        <v>100</v>
      </c>
      <c r="F102">
        <v>1</v>
      </c>
      <c r="G102">
        <f t="shared" si="8"/>
        <v>8898</v>
      </c>
      <c r="H102">
        <f t="shared" si="5"/>
        <v>1</v>
      </c>
      <c r="I102">
        <f t="shared" si="6"/>
        <v>8898</v>
      </c>
      <c r="J102">
        <f t="shared" si="7"/>
        <v>1</v>
      </c>
    </row>
    <row r="103" spans="1:10" x14ac:dyDescent="0.25">
      <c r="A103" t="s">
        <v>35</v>
      </c>
      <c r="B103" t="s">
        <v>232</v>
      </c>
      <c r="C103">
        <v>9329</v>
      </c>
      <c r="D103">
        <v>1</v>
      </c>
      <c r="E103">
        <v>100</v>
      </c>
      <c r="F103">
        <v>1</v>
      </c>
      <c r="G103">
        <f t="shared" si="8"/>
        <v>9329</v>
      </c>
      <c r="H103">
        <f t="shared" si="5"/>
        <v>1</v>
      </c>
      <c r="I103">
        <f t="shared" si="6"/>
        <v>9329</v>
      </c>
      <c r="J103">
        <f t="shared" si="7"/>
        <v>1</v>
      </c>
    </row>
    <row r="104" spans="1:10" x14ac:dyDescent="0.25">
      <c r="A104" t="s">
        <v>36</v>
      </c>
      <c r="B104" t="s">
        <v>233</v>
      </c>
      <c r="C104">
        <v>10487</v>
      </c>
      <c r="D104">
        <v>1</v>
      </c>
      <c r="E104">
        <v>1</v>
      </c>
      <c r="F104">
        <v>1</v>
      </c>
      <c r="G104">
        <f t="shared" si="8"/>
        <v>10487</v>
      </c>
      <c r="H104">
        <f t="shared" si="5"/>
        <v>1</v>
      </c>
      <c r="I104">
        <f t="shared" si="6"/>
        <v>10487</v>
      </c>
      <c r="J104">
        <f t="shared" si="7"/>
        <v>1</v>
      </c>
    </row>
    <row r="105" spans="1:10" x14ac:dyDescent="0.25">
      <c r="A105" t="s">
        <v>36</v>
      </c>
      <c r="B105" t="s">
        <v>234</v>
      </c>
      <c r="C105">
        <v>10801</v>
      </c>
      <c r="D105">
        <v>1</v>
      </c>
      <c r="E105">
        <v>1</v>
      </c>
      <c r="F105">
        <v>1</v>
      </c>
      <c r="G105">
        <f t="shared" si="8"/>
        <v>10801</v>
      </c>
      <c r="H105">
        <f t="shared" si="5"/>
        <v>1</v>
      </c>
      <c r="I105">
        <f t="shared" si="6"/>
        <v>10801</v>
      </c>
      <c r="J105">
        <f t="shared" si="7"/>
        <v>1</v>
      </c>
    </row>
    <row r="106" spans="1:10" x14ac:dyDescent="0.25">
      <c r="A106" t="s">
        <v>37</v>
      </c>
      <c r="B106" t="s">
        <v>235</v>
      </c>
      <c r="C106">
        <v>8068</v>
      </c>
      <c r="D106">
        <v>1</v>
      </c>
      <c r="E106">
        <v>100000</v>
      </c>
      <c r="F106">
        <v>1</v>
      </c>
      <c r="G106">
        <f t="shared" si="8"/>
        <v>8068</v>
      </c>
      <c r="H106">
        <f t="shared" si="5"/>
        <v>1</v>
      </c>
      <c r="I106">
        <f t="shared" si="6"/>
        <v>8068</v>
      </c>
      <c r="J106">
        <f t="shared" si="7"/>
        <v>1</v>
      </c>
    </row>
    <row r="107" spans="1:10" x14ac:dyDescent="0.25">
      <c r="A107" t="s">
        <v>37</v>
      </c>
      <c r="B107" t="s">
        <v>236</v>
      </c>
      <c r="C107">
        <v>8484</v>
      </c>
      <c r="D107">
        <v>1</v>
      </c>
      <c r="E107">
        <v>100000</v>
      </c>
      <c r="F107">
        <v>1</v>
      </c>
      <c r="G107">
        <f t="shared" si="8"/>
        <v>8484</v>
      </c>
      <c r="H107">
        <f t="shared" si="5"/>
        <v>1</v>
      </c>
      <c r="I107">
        <f t="shared" si="6"/>
        <v>8484</v>
      </c>
      <c r="J107">
        <f t="shared" si="7"/>
        <v>1</v>
      </c>
    </row>
    <row r="108" spans="1:10" x14ac:dyDescent="0.25">
      <c r="A108" t="s">
        <v>38</v>
      </c>
      <c r="B108" t="s">
        <v>237</v>
      </c>
      <c r="C108">
        <v>142</v>
      </c>
      <c r="D108">
        <v>0.01</v>
      </c>
      <c r="E108">
        <v>100</v>
      </c>
      <c r="F108">
        <v>1</v>
      </c>
      <c r="G108">
        <f t="shared" si="8"/>
        <v>14200</v>
      </c>
      <c r="H108">
        <f t="shared" si="5"/>
        <v>100</v>
      </c>
      <c r="I108">
        <f t="shared" si="6"/>
        <v>142</v>
      </c>
      <c r="J108">
        <f t="shared" si="7"/>
        <v>100</v>
      </c>
    </row>
    <row r="109" spans="1:10" x14ac:dyDescent="0.25">
      <c r="A109" t="s">
        <v>39</v>
      </c>
      <c r="B109" t="s">
        <v>238</v>
      </c>
      <c r="C109">
        <v>2883.1</v>
      </c>
      <c r="D109">
        <v>0.1</v>
      </c>
      <c r="E109">
        <v>1</v>
      </c>
      <c r="F109">
        <v>9.7276199999999999</v>
      </c>
      <c r="G109">
        <f t="shared" si="8"/>
        <v>280457.01221999998</v>
      </c>
      <c r="H109">
        <f t="shared" si="5"/>
        <v>97.276199999999989</v>
      </c>
      <c r="I109">
        <f t="shared" si="6"/>
        <v>2883.1</v>
      </c>
      <c r="J109">
        <f t="shared" si="7"/>
        <v>97.276199999999989</v>
      </c>
    </row>
    <row r="110" spans="1:10" x14ac:dyDescent="0.25">
      <c r="A110" t="s">
        <v>39</v>
      </c>
      <c r="B110" t="s">
        <v>239</v>
      </c>
      <c r="C110">
        <v>2942.1</v>
      </c>
      <c r="D110">
        <v>0.1</v>
      </c>
      <c r="E110">
        <v>1</v>
      </c>
      <c r="F110">
        <v>9.7276199999999999</v>
      </c>
      <c r="G110">
        <f t="shared" si="8"/>
        <v>286196.30801999994</v>
      </c>
      <c r="H110">
        <f t="shared" si="5"/>
        <v>97.276199999999989</v>
      </c>
      <c r="I110">
        <f t="shared" si="6"/>
        <v>2942.1</v>
      </c>
      <c r="J110">
        <f t="shared" si="7"/>
        <v>97.276199999999989</v>
      </c>
    </row>
    <row r="111" spans="1:10" x14ac:dyDescent="0.25">
      <c r="A111" t="s">
        <v>39</v>
      </c>
      <c r="B111" t="s">
        <v>240</v>
      </c>
      <c r="C111">
        <v>2994</v>
      </c>
      <c r="D111">
        <v>0.1</v>
      </c>
      <c r="E111">
        <v>1</v>
      </c>
      <c r="F111">
        <v>9.7276199999999999</v>
      </c>
      <c r="G111">
        <f t="shared" si="8"/>
        <v>291244.94279999996</v>
      </c>
      <c r="H111">
        <f t="shared" si="5"/>
        <v>97.276199999999989</v>
      </c>
      <c r="I111">
        <f t="shared" si="6"/>
        <v>2994</v>
      </c>
      <c r="J111">
        <f t="shared" si="7"/>
        <v>97.276199999999989</v>
      </c>
    </row>
    <row r="112" spans="1:10" x14ac:dyDescent="0.25">
      <c r="A112" t="s">
        <v>39</v>
      </c>
      <c r="B112" t="s">
        <v>241</v>
      </c>
      <c r="C112">
        <v>3041.1</v>
      </c>
      <c r="D112">
        <v>0.1</v>
      </c>
      <c r="E112">
        <v>1</v>
      </c>
      <c r="F112">
        <v>9.7276199999999999</v>
      </c>
      <c r="G112">
        <f t="shared" si="8"/>
        <v>295826.65181999997</v>
      </c>
      <c r="H112">
        <f t="shared" si="5"/>
        <v>97.276199999999989</v>
      </c>
      <c r="I112">
        <f t="shared" si="6"/>
        <v>3041.1</v>
      </c>
      <c r="J112">
        <f t="shared" si="7"/>
        <v>97.276199999999989</v>
      </c>
    </row>
    <row r="113" spans="1:10" x14ac:dyDescent="0.25">
      <c r="A113" t="s">
        <v>40</v>
      </c>
      <c r="B113" t="s">
        <v>242</v>
      </c>
      <c r="C113">
        <v>1243</v>
      </c>
      <c r="D113">
        <v>1</v>
      </c>
      <c r="E113">
        <v>10</v>
      </c>
      <c r="F113">
        <v>1</v>
      </c>
      <c r="G113">
        <f t="shared" si="8"/>
        <v>1243</v>
      </c>
      <c r="H113">
        <f t="shared" si="5"/>
        <v>1</v>
      </c>
      <c r="I113">
        <f t="shared" si="6"/>
        <v>1243</v>
      </c>
      <c r="J113">
        <f t="shared" si="7"/>
        <v>1</v>
      </c>
    </row>
    <row r="114" spans="1:10" x14ac:dyDescent="0.25">
      <c r="A114" t="s">
        <v>40</v>
      </c>
      <c r="B114" t="s">
        <v>243</v>
      </c>
      <c r="C114">
        <v>1307</v>
      </c>
      <c r="D114">
        <v>1</v>
      </c>
      <c r="E114">
        <v>10</v>
      </c>
      <c r="F114">
        <v>1</v>
      </c>
      <c r="G114">
        <f t="shared" si="8"/>
        <v>1307</v>
      </c>
      <c r="H114">
        <f t="shared" si="5"/>
        <v>1</v>
      </c>
      <c r="I114">
        <f t="shared" si="6"/>
        <v>1307</v>
      </c>
      <c r="J114">
        <f t="shared" si="7"/>
        <v>1</v>
      </c>
    </row>
    <row r="115" spans="1:10" x14ac:dyDescent="0.25">
      <c r="A115" t="s">
        <v>41</v>
      </c>
      <c r="B115" t="s">
        <v>244</v>
      </c>
      <c r="C115">
        <v>9000.1</v>
      </c>
      <c r="D115">
        <v>0.1</v>
      </c>
      <c r="E115">
        <v>1</v>
      </c>
      <c r="F115">
        <v>0.1</v>
      </c>
      <c r="G115">
        <f t="shared" si="8"/>
        <v>9000.1</v>
      </c>
      <c r="H115">
        <f t="shared" si="5"/>
        <v>1</v>
      </c>
      <c r="I115">
        <f t="shared" si="6"/>
        <v>9000.1</v>
      </c>
      <c r="J115">
        <f t="shared" si="7"/>
        <v>1</v>
      </c>
    </row>
    <row r="116" spans="1:10" x14ac:dyDescent="0.25">
      <c r="A116" t="s">
        <v>41</v>
      </c>
      <c r="B116" t="s">
        <v>245</v>
      </c>
      <c r="C116">
        <v>9222.4</v>
      </c>
      <c r="D116">
        <v>0.1</v>
      </c>
      <c r="E116">
        <v>1</v>
      </c>
      <c r="F116">
        <v>0.1</v>
      </c>
      <c r="G116">
        <f t="shared" si="8"/>
        <v>9222.4</v>
      </c>
      <c r="H116">
        <f t="shared" si="5"/>
        <v>1</v>
      </c>
      <c r="I116">
        <f t="shared" si="6"/>
        <v>9222.4</v>
      </c>
      <c r="J116">
        <f t="shared" si="7"/>
        <v>1</v>
      </c>
    </row>
    <row r="117" spans="1:10" x14ac:dyDescent="0.25">
      <c r="A117" t="s">
        <v>41</v>
      </c>
      <c r="B117" t="s">
        <v>246</v>
      </c>
      <c r="C117">
        <v>9724.7999999999993</v>
      </c>
      <c r="D117">
        <v>0.1</v>
      </c>
      <c r="E117">
        <v>1</v>
      </c>
      <c r="F117">
        <v>0.1</v>
      </c>
      <c r="G117">
        <f t="shared" si="8"/>
        <v>9724.7999999999993</v>
      </c>
      <c r="H117">
        <f t="shared" si="5"/>
        <v>1</v>
      </c>
      <c r="I117">
        <f t="shared" si="6"/>
        <v>9724.7999999999993</v>
      </c>
      <c r="J117">
        <f t="shared" si="7"/>
        <v>1</v>
      </c>
    </row>
    <row r="118" spans="1:10" x14ac:dyDescent="0.25">
      <c r="A118" t="s">
        <v>41</v>
      </c>
      <c r="B118" t="s">
        <v>247</v>
      </c>
      <c r="C118">
        <v>9979.2999999999993</v>
      </c>
      <c r="D118">
        <v>0.1</v>
      </c>
      <c r="E118">
        <v>1</v>
      </c>
      <c r="F118">
        <v>0.1</v>
      </c>
      <c r="G118">
        <f t="shared" si="8"/>
        <v>9979.2999999999993</v>
      </c>
      <c r="H118">
        <f t="shared" si="5"/>
        <v>1</v>
      </c>
      <c r="I118">
        <f t="shared" si="6"/>
        <v>9979.2999999999993</v>
      </c>
      <c r="J118">
        <f t="shared" si="7"/>
        <v>1</v>
      </c>
    </row>
    <row r="119" spans="1:10" x14ac:dyDescent="0.25">
      <c r="A119" t="s">
        <v>41</v>
      </c>
      <c r="B119" t="s">
        <v>248</v>
      </c>
      <c r="C119">
        <v>10315</v>
      </c>
      <c r="D119">
        <v>0.1</v>
      </c>
      <c r="E119">
        <v>1</v>
      </c>
      <c r="F119">
        <v>0.1</v>
      </c>
      <c r="G119">
        <f t="shared" si="8"/>
        <v>10315</v>
      </c>
      <c r="H119">
        <f t="shared" si="5"/>
        <v>1</v>
      </c>
      <c r="I119">
        <f t="shared" si="6"/>
        <v>10315</v>
      </c>
      <c r="J119">
        <f t="shared" si="7"/>
        <v>1</v>
      </c>
    </row>
    <row r="120" spans="1:10" x14ac:dyDescent="0.25">
      <c r="A120" t="s">
        <v>42</v>
      </c>
      <c r="B120" t="s">
        <v>249</v>
      </c>
      <c r="C120">
        <v>1.2421</v>
      </c>
      <c r="D120">
        <v>1E-4</v>
      </c>
      <c r="E120">
        <v>1000</v>
      </c>
      <c r="F120">
        <v>9.7276199999999999</v>
      </c>
      <c r="G120">
        <f t="shared" si="8"/>
        <v>120826.76801999999</v>
      </c>
      <c r="H120">
        <f t="shared" si="5"/>
        <v>97276.2</v>
      </c>
      <c r="I120">
        <f t="shared" si="6"/>
        <v>1.2421</v>
      </c>
      <c r="J120">
        <f t="shared" si="7"/>
        <v>97276.2</v>
      </c>
    </row>
    <row r="121" spans="1:10" x14ac:dyDescent="0.25">
      <c r="A121" t="s">
        <v>42</v>
      </c>
      <c r="B121" t="s">
        <v>250</v>
      </c>
      <c r="C121">
        <v>1.2419</v>
      </c>
      <c r="D121">
        <v>1E-4</v>
      </c>
      <c r="E121">
        <v>1000</v>
      </c>
      <c r="F121">
        <v>9.7276199999999999</v>
      </c>
      <c r="G121">
        <f t="shared" si="8"/>
        <v>120807.31277999999</v>
      </c>
      <c r="H121">
        <f t="shared" si="5"/>
        <v>97276.2</v>
      </c>
      <c r="I121">
        <f t="shared" si="6"/>
        <v>1.2419</v>
      </c>
      <c r="J121">
        <f t="shared" si="7"/>
        <v>97276.2</v>
      </c>
    </row>
    <row r="122" spans="1:10" x14ac:dyDescent="0.25">
      <c r="A122" t="s">
        <v>43</v>
      </c>
      <c r="B122" t="s">
        <v>251</v>
      </c>
      <c r="C122">
        <v>14558</v>
      </c>
      <c r="D122">
        <v>1</v>
      </c>
      <c r="E122">
        <v>100</v>
      </c>
      <c r="F122">
        <v>1</v>
      </c>
      <c r="G122">
        <f t="shared" si="8"/>
        <v>14558</v>
      </c>
      <c r="H122">
        <f t="shared" si="5"/>
        <v>1</v>
      </c>
      <c r="I122">
        <f t="shared" si="6"/>
        <v>14558</v>
      </c>
      <c r="J122">
        <f t="shared" si="7"/>
        <v>1</v>
      </c>
    </row>
    <row r="123" spans="1:10" x14ac:dyDescent="0.25">
      <c r="A123" t="s">
        <v>43</v>
      </c>
      <c r="B123" t="s">
        <v>252</v>
      </c>
      <c r="C123">
        <v>17433</v>
      </c>
      <c r="D123">
        <v>1</v>
      </c>
      <c r="E123">
        <v>100</v>
      </c>
      <c r="F123">
        <v>1</v>
      </c>
      <c r="G123">
        <f t="shared" si="8"/>
        <v>17433</v>
      </c>
      <c r="H123">
        <f t="shared" si="5"/>
        <v>1</v>
      </c>
      <c r="I123">
        <f t="shared" si="6"/>
        <v>17433</v>
      </c>
      <c r="J123">
        <f t="shared" si="7"/>
        <v>1</v>
      </c>
    </row>
    <row r="124" spans="1:10" x14ac:dyDescent="0.25">
      <c r="A124" t="s">
        <v>43</v>
      </c>
      <c r="B124" t="s">
        <v>253</v>
      </c>
      <c r="C124">
        <v>15281</v>
      </c>
      <c r="D124">
        <v>1</v>
      </c>
      <c r="E124">
        <v>100</v>
      </c>
      <c r="F124">
        <v>1</v>
      </c>
      <c r="G124">
        <f t="shared" si="8"/>
        <v>15281</v>
      </c>
      <c r="H124">
        <f t="shared" si="5"/>
        <v>1</v>
      </c>
      <c r="I124">
        <f t="shared" si="6"/>
        <v>15281</v>
      </c>
      <c r="J124">
        <f t="shared" si="7"/>
        <v>1</v>
      </c>
    </row>
    <row r="125" spans="1:10" x14ac:dyDescent="0.25">
      <c r="A125" t="s">
        <v>43</v>
      </c>
      <c r="B125" t="s">
        <v>254</v>
      </c>
      <c r="C125">
        <v>18220</v>
      </c>
      <c r="D125">
        <v>1</v>
      </c>
      <c r="E125">
        <v>100</v>
      </c>
      <c r="F125">
        <v>1</v>
      </c>
      <c r="G125">
        <f t="shared" si="8"/>
        <v>18220</v>
      </c>
      <c r="H125">
        <f t="shared" si="5"/>
        <v>1</v>
      </c>
      <c r="I125">
        <f t="shared" si="6"/>
        <v>18220</v>
      </c>
      <c r="J125">
        <f t="shared" si="7"/>
        <v>1</v>
      </c>
    </row>
    <row r="126" spans="1:10" x14ac:dyDescent="0.25">
      <c r="A126" t="s">
        <v>43</v>
      </c>
      <c r="B126" t="s">
        <v>255</v>
      </c>
      <c r="C126">
        <v>15357</v>
      </c>
      <c r="D126">
        <v>1</v>
      </c>
      <c r="E126">
        <v>100</v>
      </c>
      <c r="F126">
        <v>1</v>
      </c>
      <c r="G126">
        <f t="shared" si="8"/>
        <v>15357</v>
      </c>
      <c r="H126">
        <f t="shared" si="5"/>
        <v>1</v>
      </c>
      <c r="I126">
        <f t="shared" si="6"/>
        <v>15357</v>
      </c>
      <c r="J126">
        <f t="shared" si="7"/>
        <v>1</v>
      </c>
    </row>
    <row r="127" spans="1:10" x14ac:dyDescent="0.25">
      <c r="A127" t="s">
        <v>43</v>
      </c>
      <c r="B127" t="s">
        <v>256</v>
      </c>
      <c r="C127">
        <v>16465</v>
      </c>
      <c r="D127">
        <v>1</v>
      </c>
      <c r="E127">
        <v>100</v>
      </c>
      <c r="F127">
        <v>1</v>
      </c>
      <c r="G127">
        <f t="shared" si="8"/>
        <v>16465</v>
      </c>
      <c r="H127">
        <f t="shared" si="5"/>
        <v>1</v>
      </c>
      <c r="I127">
        <f t="shared" si="6"/>
        <v>16465</v>
      </c>
      <c r="J127">
        <f t="shared" si="7"/>
        <v>1</v>
      </c>
    </row>
    <row r="128" spans="1:10" x14ac:dyDescent="0.25">
      <c r="A128" t="s">
        <v>44</v>
      </c>
      <c r="B128" t="s">
        <v>257</v>
      </c>
      <c r="C128">
        <v>12.882</v>
      </c>
      <c r="D128">
        <v>1E-3</v>
      </c>
      <c r="E128">
        <v>1000</v>
      </c>
      <c r="F128">
        <v>1</v>
      </c>
      <c r="G128">
        <f t="shared" si="8"/>
        <v>12882</v>
      </c>
      <c r="H128">
        <f t="shared" si="5"/>
        <v>1000</v>
      </c>
      <c r="I128">
        <f t="shared" si="6"/>
        <v>12.882</v>
      </c>
      <c r="J128">
        <f t="shared" si="7"/>
        <v>1000</v>
      </c>
    </row>
    <row r="129" spans="1:10" x14ac:dyDescent="0.25">
      <c r="A129" t="s">
        <v>44</v>
      </c>
      <c r="B129" t="s">
        <v>258</v>
      </c>
      <c r="C129">
        <v>13.16</v>
      </c>
      <c r="D129">
        <v>1E-3</v>
      </c>
      <c r="E129">
        <v>1000</v>
      </c>
      <c r="F129">
        <v>1</v>
      </c>
      <c r="G129">
        <f t="shared" si="8"/>
        <v>13160</v>
      </c>
      <c r="H129">
        <f t="shared" si="5"/>
        <v>1000</v>
      </c>
      <c r="I129">
        <f t="shared" si="6"/>
        <v>13.16</v>
      </c>
      <c r="J129">
        <f t="shared" si="7"/>
        <v>1000</v>
      </c>
    </row>
    <row r="130" spans="1:10" x14ac:dyDescent="0.25">
      <c r="A130" t="s">
        <v>44</v>
      </c>
      <c r="B130" t="s">
        <v>259</v>
      </c>
      <c r="C130">
        <v>13.667999999999999</v>
      </c>
      <c r="D130">
        <v>1E-3</v>
      </c>
      <c r="E130">
        <v>1000</v>
      </c>
      <c r="F130">
        <v>1</v>
      </c>
      <c r="G130">
        <f t="shared" si="8"/>
        <v>13668</v>
      </c>
      <c r="H130">
        <f t="shared" si="5"/>
        <v>1000</v>
      </c>
      <c r="I130">
        <f t="shared" si="6"/>
        <v>13.667999999999999</v>
      </c>
      <c r="J130">
        <f t="shared" si="7"/>
        <v>1000</v>
      </c>
    </row>
    <row r="131" spans="1:10" x14ac:dyDescent="0.25">
      <c r="A131" t="s">
        <v>44</v>
      </c>
      <c r="B131" t="s">
        <v>260</v>
      </c>
      <c r="C131">
        <v>14.5</v>
      </c>
      <c r="D131">
        <v>1E-3</v>
      </c>
      <c r="E131">
        <v>1000</v>
      </c>
      <c r="F131">
        <v>1</v>
      </c>
      <c r="G131">
        <f t="shared" si="8"/>
        <v>14500</v>
      </c>
      <c r="H131">
        <f t="shared" ref="H131:H194" si="9">F131/D131</f>
        <v>1000</v>
      </c>
      <c r="I131">
        <f t="shared" ref="I131:I194" si="10">G131/H131</f>
        <v>14.5</v>
      </c>
      <c r="J131">
        <f t="shared" ref="J131:J194" si="11">F131/D131</f>
        <v>1000</v>
      </c>
    </row>
    <row r="132" spans="1:10" x14ac:dyDescent="0.25">
      <c r="A132" t="s">
        <v>45</v>
      </c>
      <c r="B132" t="s">
        <v>261</v>
      </c>
      <c r="C132">
        <v>29780</v>
      </c>
      <c r="D132">
        <v>10</v>
      </c>
      <c r="E132">
        <v>1</v>
      </c>
      <c r="F132">
        <v>10</v>
      </c>
      <c r="G132">
        <f t="shared" si="8"/>
        <v>29780</v>
      </c>
      <c r="H132">
        <f t="shared" si="9"/>
        <v>1</v>
      </c>
      <c r="I132">
        <f t="shared" si="10"/>
        <v>29780</v>
      </c>
      <c r="J132">
        <f t="shared" si="11"/>
        <v>1</v>
      </c>
    </row>
    <row r="133" spans="1:10" x14ac:dyDescent="0.25">
      <c r="A133" t="s">
        <v>45</v>
      </c>
      <c r="B133" t="s">
        <v>262</v>
      </c>
      <c r="C133">
        <v>30620</v>
      </c>
      <c r="D133">
        <v>10</v>
      </c>
      <c r="E133">
        <v>1</v>
      </c>
      <c r="F133">
        <v>10</v>
      </c>
      <c r="G133">
        <f t="shared" si="8"/>
        <v>30620</v>
      </c>
      <c r="H133">
        <f t="shared" si="9"/>
        <v>1</v>
      </c>
      <c r="I133">
        <f t="shared" si="10"/>
        <v>30620</v>
      </c>
      <c r="J133">
        <f t="shared" si="11"/>
        <v>1</v>
      </c>
    </row>
    <row r="134" spans="1:10" x14ac:dyDescent="0.25">
      <c r="A134" t="s">
        <v>45</v>
      </c>
      <c r="B134" t="s">
        <v>263</v>
      </c>
      <c r="C134">
        <v>31010</v>
      </c>
      <c r="D134">
        <v>10</v>
      </c>
      <c r="E134">
        <v>1</v>
      </c>
      <c r="F134">
        <v>10</v>
      </c>
      <c r="G134">
        <f t="shared" si="8"/>
        <v>31010</v>
      </c>
      <c r="H134">
        <f t="shared" si="9"/>
        <v>1</v>
      </c>
      <c r="I134">
        <f t="shared" si="10"/>
        <v>31010</v>
      </c>
      <c r="J134">
        <f t="shared" si="11"/>
        <v>1</v>
      </c>
    </row>
    <row r="135" spans="1:10" x14ac:dyDescent="0.25">
      <c r="A135" t="s">
        <v>46</v>
      </c>
      <c r="B135" t="s">
        <v>264</v>
      </c>
      <c r="C135">
        <v>21824</v>
      </c>
      <c r="D135">
        <v>1</v>
      </c>
      <c r="E135">
        <v>1000</v>
      </c>
      <c r="F135">
        <v>0.12511</v>
      </c>
      <c r="G135">
        <f t="shared" si="8"/>
        <v>2730.4006399999998</v>
      </c>
      <c r="H135">
        <f t="shared" si="9"/>
        <v>0.12511</v>
      </c>
      <c r="I135">
        <f t="shared" si="10"/>
        <v>21824</v>
      </c>
      <c r="J135">
        <f t="shared" si="11"/>
        <v>0.12511</v>
      </c>
    </row>
    <row r="136" spans="1:10" x14ac:dyDescent="0.25">
      <c r="A136" t="s">
        <v>46</v>
      </c>
      <c r="B136" t="s">
        <v>265</v>
      </c>
      <c r="C136">
        <v>22412</v>
      </c>
      <c r="D136">
        <v>1</v>
      </c>
      <c r="E136">
        <v>1000</v>
      </c>
      <c r="F136">
        <v>0.12511</v>
      </c>
      <c r="G136">
        <f t="shared" si="8"/>
        <v>2803.9653199999998</v>
      </c>
      <c r="H136">
        <f t="shared" si="9"/>
        <v>0.12511</v>
      </c>
      <c r="I136">
        <f t="shared" si="10"/>
        <v>22412</v>
      </c>
      <c r="J136">
        <f t="shared" si="11"/>
        <v>0.12511</v>
      </c>
    </row>
    <row r="137" spans="1:10" x14ac:dyDescent="0.25">
      <c r="A137" t="s">
        <v>46</v>
      </c>
      <c r="B137" t="s">
        <v>266</v>
      </c>
      <c r="C137">
        <v>23330</v>
      </c>
      <c r="D137">
        <v>1</v>
      </c>
      <c r="E137">
        <v>1000</v>
      </c>
      <c r="F137">
        <v>0.12511</v>
      </c>
      <c r="G137">
        <f t="shared" si="8"/>
        <v>2918.8163</v>
      </c>
      <c r="H137">
        <f t="shared" si="9"/>
        <v>0.12511</v>
      </c>
      <c r="I137">
        <f t="shared" si="10"/>
        <v>23330</v>
      </c>
      <c r="J137">
        <f t="shared" si="11"/>
        <v>0.12511</v>
      </c>
    </row>
    <row r="138" spans="1:10" x14ac:dyDescent="0.25">
      <c r="A138" t="s">
        <v>46</v>
      </c>
      <c r="B138" t="s">
        <v>267</v>
      </c>
      <c r="C138">
        <v>22898</v>
      </c>
      <c r="D138">
        <v>1</v>
      </c>
      <c r="E138">
        <v>1000</v>
      </c>
      <c r="F138">
        <v>0.12511</v>
      </c>
      <c r="G138">
        <f t="shared" si="8"/>
        <v>2864.7687799999999</v>
      </c>
      <c r="H138">
        <f t="shared" si="9"/>
        <v>0.12511</v>
      </c>
      <c r="I138">
        <f t="shared" si="10"/>
        <v>22898</v>
      </c>
      <c r="J138">
        <f t="shared" si="11"/>
        <v>0.12511</v>
      </c>
    </row>
    <row r="139" spans="1:10" x14ac:dyDescent="0.25">
      <c r="A139" t="s">
        <v>47</v>
      </c>
      <c r="B139" t="s">
        <v>268</v>
      </c>
      <c r="C139">
        <v>5803</v>
      </c>
      <c r="D139">
        <v>1</v>
      </c>
      <c r="E139">
        <v>10000</v>
      </c>
      <c r="F139">
        <v>1</v>
      </c>
      <c r="G139">
        <f t="shared" si="8"/>
        <v>5803</v>
      </c>
      <c r="H139">
        <f t="shared" si="9"/>
        <v>1</v>
      </c>
      <c r="I139">
        <f t="shared" si="10"/>
        <v>5803</v>
      </c>
      <c r="J139">
        <f t="shared" si="11"/>
        <v>1</v>
      </c>
    </row>
    <row r="140" spans="1:10" x14ac:dyDescent="0.25">
      <c r="A140" t="s">
        <v>47</v>
      </c>
      <c r="B140" t="s">
        <v>269</v>
      </c>
      <c r="C140">
        <v>6085</v>
      </c>
      <c r="D140">
        <v>1</v>
      </c>
      <c r="E140">
        <v>10000</v>
      </c>
      <c r="F140">
        <v>1</v>
      </c>
      <c r="G140">
        <f t="shared" si="8"/>
        <v>6085</v>
      </c>
      <c r="H140">
        <f t="shared" si="9"/>
        <v>1</v>
      </c>
      <c r="I140">
        <f t="shared" si="10"/>
        <v>6085</v>
      </c>
      <c r="J140">
        <f t="shared" si="11"/>
        <v>1</v>
      </c>
    </row>
    <row r="141" spans="1:10" x14ac:dyDescent="0.25">
      <c r="A141" t="s">
        <v>48</v>
      </c>
      <c r="B141" t="s">
        <v>270</v>
      </c>
      <c r="C141">
        <v>1.1393</v>
      </c>
      <c r="D141">
        <v>1E-4</v>
      </c>
      <c r="E141">
        <v>10000</v>
      </c>
      <c r="F141">
        <v>1</v>
      </c>
      <c r="G141">
        <f t="shared" ref="G141:G204" si="12">(F141/D141)*C141</f>
        <v>11393</v>
      </c>
      <c r="H141">
        <f t="shared" si="9"/>
        <v>10000</v>
      </c>
      <c r="I141">
        <f t="shared" si="10"/>
        <v>1.1393</v>
      </c>
      <c r="J141">
        <f t="shared" si="11"/>
        <v>10000</v>
      </c>
    </row>
    <row r="142" spans="1:10" x14ac:dyDescent="0.25">
      <c r="A142" t="s">
        <v>48</v>
      </c>
      <c r="B142" t="s">
        <v>271</v>
      </c>
      <c r="C142">
        <v>1.1843999999999999</v>
      </c>
      <c r="D142">
        <v>1E-4</v>
      </c>
      <c r="E142">
        <v>10000</v>
      </c>
      <c r="F142">
        <v>1</v>
      </c>
      <c r="G142">
        <f t="shared" si="12"/>
        <v>11843.999999999998</v>
      </c>
      <c r="H142">
        <f t="shared" si="9"/>
        <v>10000</v>
      </c>
      <c r="I142">
        <f t="shared" si="10"/>
        <v>1.1843999999999999</v>
      </c>
      <c r="J142">
        <f t="shared" si="11"/>
        <v>10000</v>
      </c>
    </row>
    <row r="143" spans="1:10" x14ac:dyDescent="0.25">
      <c r="A143" t="s">
        <v>48</v>
      </c>
      <c r="B143" t="s">
        <v>272</v>
      </c>
      <c r="C143">
        <v>1.1999</v>
      </c>
      <c r="D143">
        <v>1E-4</v>
      </c>
      <c r="E143">
        <v>10000</v>
      </c>
      <c r="F143">
        <v>1</v>
      </c>
      <c r="G143">
        <f t="shared" si="12"/>
        <v>11999</v>
      </c>
      <c r="H143">
        <f t="shared" si="9"/>
        <v>10000</v>
      </c>
      <c r="I143">
        <f t="shared" si="10"/>
        <v>1.1999</v>
      </c>
      <c r="J143">
        <f t="shared" si="11"/>
        <v>10000</v>
      </c>
    </row>
    <row r="144" spans="1:10" x14ac:dyDescent="0.25">
      <c r="A144" t="s">
        <v>48</v>
      </c>
      <c r="B144" t="s">
        <v>273</v>
      </c>
      <c r="C144">
        <v>1.2946</v>
      </c>
      <c r="D144">
        <v>1E-4</v>
      </c>
      <c r="E144">
        <v>10000</v>
      </c>
      <c r="F144">
        <v>1</v>
      </c>
      <c r="G144">
        <f t="shared" si="12"/>
        <v>12946</v>
      </c>
      <c r="H144">
        <f t="shared" si="9"/>
        <v>10000</v>
      </c>
      <c r="I144">
        <f t="shared" si="10"/>
        <v>1.2946</v>
      </c>
      <c r="J144">
        <f t="shared" si="11"/>
        <v>10000</v>
      </c>
    </row>
    <row r="145" spans="1:10" x14ac:dyDescent="0.25">
      <c r="A145" t="s">
        <v>49</v>
      </c>
      <c r="B145" t="s">
        <v>274</v>
      </c>
      <c r="C145">
        <v>2966.5</v>
      </c>
      <c r="D145">
        <v>0.5</v>
      </c>
      <c r="E145">
        <v>10</v>
      </c>
      <c r="F145">
        <v>5</v>
      </c>
      <c r="G145">
        <f t="shared" si="12"/>
        <v>29665</v>
      </c>
      <c r="H145">
        <f t="shared" si="9"/>
        <v>10</v>
      </c>
      <c r="I145">
        <f t="shared" si="10"/>
        <v>2966.5</v>
      </c>
      <c r="J145">
        <f t="shared" si="11"/>
        <v>10</v>
      </c>
    </row>
    <row r="146" spans="1:10" x14ac:dyDescent="0.25">
      <c r="A146" t="s">
        <v>50</v>
      </c>
      <c r="B146" t="s">
        <v>275</v>
      </c>
      <c r="C146">
        <v>700</v>
      </c>
      <c r="D146">
        <v>0.5</v>
      </c>
      <c r="E146">
        <v>1</v>
      </c>
      <c r="F146">
        <v>0.5</v>
      </c>
      <c r="G146">
        <f t="shared" si="12"/>
        <v>700</v>
      </c>
      <c r="H146">
        <f t="shared" si="9"/>
        <v>1</v>
      </c>
      <c r="I146">
        <f t="shared" si="10"/>
        <v>700</v>
      </c>
      <c r="J146">
        <f t="shared" si="11"/>
        <v>1</v>
      </c>
    </row>
    <row r="147" spans="1:10" x14ac:dyDescent="0.25">
      <c r="A147" t="s">
        <v>50</v>
      </c>
      <c r="B147" t="s">
        <v>276</v>
      </c>
      <c r="C147">
        <v>719</v>
      </c>
      <c r="D147">
        <v>0.5</v>
      </c>
      <c r="E147">
        <v>1</v>
      </c>
      <c r="F147">
        <v>0.5</v>
      </c>
      <c r="G147">
        <f t="shared" si="12"/>
        <v>719</v>
      </c>
      <c r="H147">
        <f t="shared" si="9"/>
        <v>1</v>
      </c>
      <c r="I147">
        <f t="shared" si="10"/>
        <v>719</v>
      </c>
      <c r="J147">
        <f t="shared" si="11"/>
        <v>1</v>
      </c>
    </row>
    <row r="148" spans="1:10" x14ac:dyDescent="0.25">
      <c r="A148" t="s">
        <v>51</v>
      </c>
      <c r="B148" t="s">
        <v>277</v>
      </c>
      <c r="C148">
        <v>38067</v>
      </c>
      <c r="D148">
        <v>1</v>
      </c>
      <c r="E148">
        <v>10000</v>
      </c>
      <c r="F148">
        <v>1</v>
      </c>
      <c r="G148">
        <f t="shared" si="12"/>
        <v>38067</v>
      </c>
      <c r="H148">
        <f t="shared" si="9"/>
        <v>1</v>
      </c>
      <c r="I148">
        <f t="shared" si="10"/>
        <v>38067</v>
      </c>
      <c r="J148">
        <f t="shared" si="11"/>
        <v>1</v>
      </c>
    </row>
    <row r="149" spans="1:10" x14ac:dyDescent="0.25">
      <c r="A149" t="s">
        <v>51</v>
      </c>
      <c r="B149" t="s">
        <v>278</v>
      </c>
      <c r="C149">
        <v>38168</v>
      </c>
      <c r="D149">
        <v>1</v>
      </c>
      <c r="E149">
        <v>10000</v>
      </c>
      <c r="F149">
        <v>1</v>
      </c>
      <c r="G149">
        <f t="shared" si="12"/>
        <v>38168</v>
      </c>
      <c r="H149">
        <f t="shared" si="9"/>
        <v>1</v>
      </c>
      <c r="I149">
        <f t="shared" si="10"/>
        <v>38168</v>
      </c>
      <c r="J149">
        <f t="shared" si="11"/>
        <v>1</v>
      </c>
    </row>
    <row r="150" spans="1:10" x14ac:dyDescent="0.25">
      <c r="A150" t="s">
        <v>52</v>
      </c>
      <c r="B150" t="s">
        <v>279</v>
      </c>
      <c r="C150">
        <v>928</v>
      </c>
      <c r="D150">
        <v>1</v>
      </c>
      <c r="E150">
        <v>10</v>
      </c>
      <c r="F150">
        <v>1</v>
      </c>
      <c r="G150">
        <f t="shared" si="12"/>
        <v>928</v>
      </c>
      <c r="H150">
        <f t="shared" si="9"/>
        <v>1</v>
      </c>
      <c r="I150">
        <f t="shared" si="10"/>
        <v>928</v>
      </c>
      <c r="J150">
        <f t="shared" si="11"/>
        <v>1</v>
      </c>
    </row>
    <row r="151" spans="1:10" x14ac:dyDescent="0.25">
      <c r="A151" t="s">
        <v>52</v>
      </c>
      <c r="B151" t="s">
        <v>280</v>
      </c>
      <c r="C151">
        <v>972</v>
      </c>
      <c r="D151">
        <v>1</v>
      </c>
      <c r="E151">
        <v>10</v>
      </c>
      <c r="F151">
        <v>1</v>
      </c>
      <c r="G151">
        <f t="shared" si="12"/>
        <v>972</v>
      </c>
      <c r="H151">
        <f t="shared" si="9"/>
        <v>1</v>
      </c>
      <c r="I151">
        <f t="shared" si="10"/>
        <v>972</v>
      </c>
      <c r="J151">
        <f t="shared" si="11"/>
        <v>1</v>
      </c>
    </row>
    <row r="152" spans="1:10" x14ac:dyDescent="0.25">
      <c r="A152" t="s">
        <v>53</v>
      </c>
      <c r="B152" t="s">
        <v>281</v>
      </c>
      <c r="C152">
        <v>150.85</v>
      </c>
      <c r="D152">
        <v>0.01</v>
      </c>
      <c r="E152">
        <v>1000</v>
      </c>
      <c r="F152">
        <v>6.4328000000000003</v>
      </c>
      <c r="G152">
        <f t="shared" si="12"/>
        <v>97038.787999999986</v>
      </c>
      <c r="H152">
        <f t="shared" si="9"/>
        <v>643.28</v>
      </c>
      <c r="I152">
        <f t="shared" si="10"/>
        <v>150.85</v>
      </c>
      <c r="J152">
        <f t="shared" si="11"/>
        <v>643.28</v>
      </c>
    </row>
    <row r="153" spans="1:10" x14ac:dyDescent="0.25">
      <c r="A153" t="s">
        <v>53</v>
      </c>
      <c r="B153" t="s">
        <v>282</v>
      </c>
      <c r="C153">
        <v>150.44999999999999</v>
      </c>
      <c r="D153">
        <v>0.01</v>
      </c>
      <c r="E153">
        <v>1000</v>
      </c>
      <c r="F153">
        <v>6.4328000000000003</v>
      </c>
      <c r="G153">
        <f t="shared" si="12"/>
        <v>96781.475999999995</v>
      </c>
      <c r="H153">
        <f t="shared" si="9"/>
        <v>643.28</v>
      </c>
      <c r="I153">
        <f t="shared" si="10"/>
        <v>150.44999999999999</v>
      </c>
      <c r="J153">
        <f t="shared" si="11"/>
        <v>643.28</v>
      </c>
    </row>
    <row r="154" spans="1:10" x14ac:dyDescent="0.25">
      <c r="A154" t="s">
        <v>54</v>
      </c>
      <c r="B154" t="s">
        <v>283</v>
      </c>
      <c r="C154">
        <v>1232</v>
      </c>
      <c r="D154">
        <v>1</v>
      </c>
      <c r="E154">
        <v>10</v>
      </c>
      <c r="F154">
        <v>1</v>
      </c>
      <c r="G154">
        <f t="shared" si="12"/>
        <v>1232</v>
      </c>
      <c r="H154">
        <f t="shared" si="9"/>
        <v>1</v>
      </c>
      <c r="I154">
        <f t="shared" si="10"/>
        <v>1232</v>
      </c>
      <c r="J154">
        <f t="shared" si="11"/>
        <v>1</v>
      </c>
    </row>
    <row r="155" spans="1:10" x14ac:dyDescent="0.25">
      <c r="A155" t="s">
        <v>54</v>
      </c>
      <c r="B155" t="s">
        <v>284</v>
      </c>
      <c r="C155">
        <v>1302</v>
      </c>
      <c r="D155">
        <v>1</v>
      </c>
      <c r="E155">
        <v>10</v>
      </c>
      <c r="F155">
        <v>1</v>
      </c>
      <c r="G155">
        <f t="shared" si="12"/>
        <v>1302</v>
      </c>
      <c r="H155">
        <f t="shared" si="9"/>
        <v>1</v>
      </c>
      <c r="I155">
        <f t="shared" si="10"/>
        <v>1302</v>
      </c>
      <c r="J155">
        <f t="shared" si="11"/>
        <v>1</v>
      </c>
    </row>
    <row r="156" spans="1:10" x14ac:dyDescent="0.25">
      <c r="A156" t="s">
        <v>55</v>
      </c>
      <c r="B156" t="s">
        <v>285</v>
      </c>
      <c r="C156">
        <v>19</v>
      </c>
      <c r="D156">
        <v>1E-3</v>
      </c>
      <c r="E156">
        <v>100000</v>
      </c>
      <c r="F156">
        <v>1</v>
      </c>
      <c r="G156">
        <f t="shared" si="12"/>
        <v>19000</v>
      </c>
      <c r="H156">
        <f t="shared" si="9"/>
        <v>1000</v>
      </c>
      <c r="I156">
        <f t="shared" si="10"/>
        <v>19</v>
      </c>
      <c r="J156">
        <f t="shared" si="11"/>
        <v>1000</v>
      </c>
    </row>
    <row r="157" spans="1:10" x14ac:dyDescent="0.25">
      <c r="A157" t="s">
        <v>55</v>
      </c>
      <c r="B157" t="s">
        <v>286</v>
      </c>
      <c r="C157">
        <v>18.5</v>
      </c>
      <c r="D157">
        <v>1E-3</v>
      </c>
      <c r="E157">
        <v>100000</v>
      </c>
      <c r="F157">
        <v>1</v>
      </c>
      <c r="G157">
        <f t="shared" si="12"/>
        <v>18500</v>
      </c>
      <c r="H157">
        <f t="shared" si="9"/>
        <v>1000</v>
      </c>
      <c r="I157">
        <f t="shared" si="10"/>
        <v>18.5</v>
      </c>
      <c r="J157">
        <f t="shared" si="11"/>
        <v>1000</v>
      </c>
    </row>
    <row r="158" spans="1:10" x14ac:dyDescent="0.25">
      <c r="A158" t="s">
        <v>55</v>
      </c>
      <c r="B158" t="s">
        <v>287</v>
      </c>
      <c r="C158">
        <v>18.212</v>
      </c>
      <c r="D158">
        <v>1E-3</v>
      </c>
      <c r="E158">
        <v>100000</v>
      </c>
      <c r="F158">
        <v>1</v>
      </c>
      <c r="G158">
        <f t="shared" si="12"/>
        <v>18212</v>
      </c>
      <c r="H158">
        <f t="shared" si="9"/>
        <v>1000</v>
      </c>
      <c r="I158">
        <f t="shared" si="10"/>
        <v>18.212</v>
      </c>
      <c r="J158">
        <f t="shared" si="11"/>
        <v>1000</v>
      </c>
    </row>
    <row r="159" spans="1:10" x14ac:dyDescent="0.25">
      <c r="A159" t="s">
        <v>55</v>
      </c>
      <c r="B159" t="s">
        <v>288</v>
      </c>
      <c r="C159">
        <v>18</v>
      </c>
      <c r="D159">
        <v>1E-3</v>
      </c>
      <c r="E159">
        <v>100000</v>
      </c>
      <c r="F159">
        <v>1</v>
      </c>
      <c r="G159">
        <f t="shared" si="12"/>
        <v>18000</v>
      </c>
      <c r="H159">
        <f t="shared" si="9"/>
        <v>1000</v>
      </c>
      <c r="I159">
        <f t="shared" si="10"/>
        <v>18</v>
      </c>
      <c r="J159">
        <f t="shared" si="11"/>
        <v>1000</v>
      </c>
    </row>
    <row r="160" spans="1:10" x14ac:dyDescent="0.25">
      <c r="A160" t="s">
        <v>56</v>
      </c>
      <c r="B160" t="s">
        <v>289</v>
      </c>
      <c r="C160">
        <v>754</v>
      </c>
      <c r="D160">
        <v>1</v>
      </c>
      <c r="E160">
        <v>1</v>
      </c>
      <c r="F160">
        <v>1</v>
      </c>
      <c r="G160">
        <f t="shared" si="12"/>
        <v>754</v>
      </c>
      <c r="H160">
        <f t="shared" si="9"/>
        <v>1</v>
      </c>
      <c r="I160">
        <f t="shared" si="10"/>
        <v>754</v>
      </c>
      <c r="J160">
        <f t="shared" si="11"/>
        <v>1</v>
      </c>
    </row>
    <row r="161" spans="1:10" x14ac:dyDescent="0.25">
      <c r="A161" t="s">
        <v>56</v>
      </c>
      <c r="B161" t="s">
        <v>290</v>
      </c>
      <c r="C161">
        <v>790</v>
      </c>
      <c r="D161">
        <v>1</v>
      </c>
      <c r="E161">
        <v>1</v>
      </c>
      <c r="F161">
        <v>1</v>
      </c>
      <c r="G161">
        <f t="shared" si="12"/>
        <v>790</v>
      </c>
      <c r="H161">
        <f t="shared" si="9"/>
        <v>1</v>
      </c>
      <c r="I161">
        <f t="shared" si="10"/>
        <v>790</v>
      </c>
      <c r="J161">
        <f t="shared" si="11"/>
        <v>1</v>
      </c>
    </row>
    <row r="162" spans="1:10" x14ac:dyDescent="0.25">
      <c r="A162" t="s">
        <v>57</v>
      </c>
      <c r="B162" t="s">
        <v>291</v>
      </c>
      <c r="C162">
        <v>73295</v>
      </c>
      <c r="D162">
        <v>1</v>
      </c>
      <c r="E162">
        <v>10</v>
      </c>
      <c r="F162">
        <v>1</v>
      </c>
      <c r="G162">
        <f t="shared" si="12"/>
        <v>73295</v>
      </c>
      <c r="H162">
        <f t="shared" si="9"/>
        <v>1</v>
      </c>
      <c r="I162">
        <f t="shared" si="10"/>
        <v>73295</v>
      </c>
      <c r="J162">
        <f t="shared" si="11"/>
        <v>1</v>
      </c>
    </row>
    <row r="163" spans="1:10" x14ac:dyDescent="0.25">
      <c r="A163" t="s">
        <v>57</v>
      </c>
      <c r="B163" t="s">
        <v>292</v>
      </c>
      <c r="C163">
        <v>72793</v>
      </c>
      <c r="D163">
        <v>1</v>
      </c>
      <c r="E163">
        <v>10</v>
      </c>
      <c r="F163">
        <v>1</v>
      </c>
      <c r="G163">
        <f t="shared" si="12"/>
        <v>72793</v>
      </c>
      <c r="H163">
        <f t="shared" si="9"/>
        <v>1</v>
      </c>
      <c r="I163">
        <f t="shared" si="10"/>
        <v>72793</v>
      </c>
      <c r="J163">
        <f t="shared" si="11"/>
        <v>1</v>
      </c>
    </row>
    <row r="164" spans="1:10" x14ac:dyDescent="0.25">
      <c r="A164" t="s">
        <v>58</v>
      </c>
      <c r="B164" t="s">
        <v>293</v>
      </c>
      <c r="C164">
        <v>6883</v>
      </c>
      <c r="D164">
        <v>1</v>
      </c>
      <c r="E164">
        <v>1</v>
      </c>
      <c r="F164">
        <v>1</v>
      </c>
      <c r="G164">
        <f t="shared" si="12"/>
        <v>6883</v>
      </c>
      <c r="H164">
        <f t="shared" si="9"/>
        <v>1</v>
      </c>
      <c r="I164">
        <f t="shared" si="10"/>
        <v>6883</v>
      </c>
      <c r="J164">
        <f t="shared" si="11"/>
        <v>1</v>
      </c>
    </row>
    <row r="165" spans="1:10" x14ac:dyDescent="0.25">
      <c r="A165" t="s">
        <v>58</v>
      </c>
      <c r="B165" t="s">
        <v>294</v>
      </c>
      <c r="C165">
        <v>7012</v>
      </c>
      <c r="D165">
        <v>1</v>
      </c>
      <c r="E165">
        <v>1</v>
      </c>
      <c r="F165">
        <v>1</v>
      </c>
      <c r="G165">
        <f t="shared" si="12"/>
        <v>7012</v>
      </c>
      <c r="H165">
        <f t="shared" si="9"/>
        <v>1</v>
      </c>
      <c r="I165">
        <f t="shared" si="10"/>
        <v>7012</v>
      </c>
      <c r="J165">
        <f t="shared" si="11"/>
        <v>1</v>
      </c>
    </row>
    <row r="166" spans="1:10" x14ac:dyDescent="0.25">
      <c r="A166" t="s">
        <v>59</v>
      </c>
      <c r="B166" t="s">
        <v>295</v>
      </c>
      <c r="C166">
        <v>10800</v>
      </c>
      <c r="D166">
        <v>1</v>
      </c>
      <c r="E166">
        <v>100</v>
      </c>
      <c r="F166">
        <v>1</v>
      </c>
      <c r="G166">
        <f t="shared" si="12"/>
        <v>10800</v>
      </c>
      <c r="H166">
        <f t="shared" si="9"/>
        <v>1</v>
      </c>
      <c r="I166">
        <f t="shared" si="10"/>
        <v>10800</v>
      </c>
      <c r="J166">
        <f t="shared" si="11"/>
        <v>1</v>
      </c>
    </row>
    <row r="167" spans="1:10" x14ac:dyDescent="0.25">
      <c r="A167" t="s">
        <v>59</v>
      </c>
      <c r="B167" t="s">
        <v>296</v>
      </c>
      <c r="C167">
        <v>10939</v>
      </c>
      <c r="D167">
        <v>1</v>
      </c>
      <c r="E167">
        <v>100</v>
      </c>
      <c r="F167">
        <v>1</v>
      </c>
      <c r="G167">
        <f t="shared" si="12"/>
        <v>10939</v>
      </c>
      <c r="H167">
        <f t="shared" si="9"/>
        <v>1</v>
      </c>
      <c r="I167">
        <f t="shared" si="10"/>
        <v>10939</v>
      </c>
      <c r="J167">
        <f t="shared" si="11"/>
        <v>1</v>
      </c>
    </row>
    <row r="168" spans="1:10" x14ac:dyDescent="0.25">
      <c r="A168" t="s">
        <v>60</v>
      </c>
      <c r="B168" t="s">
        <v>297</v>
      </c>
      <c r="C168">
        <v>20911</v>
      </c>
      <c r="D168">
        <v>1</v>
      </c>
      <c r="E168">
        <v>100</v>
      </c>
      <c r="F168">
        <v>1</v>
      </c>
      <c r="G168">
        <f t="shared" si="12"/>
        <v>20911</v>
      </c>
      <c r="H168">
        <f t="shared" si="9"/>
        <v>1</v>
      </c>
      <c r="I168">
        <f t="shared" si="10"/>
        <v>20911</v>
      </c>
      <c r="J168">
        <f t="shared" si="11"/>
        <v>1</v>
      </c>
    </row>
    <row r="169" spans="1:10" x14ac:dyDescent="0.25">
      <c r="A169" t="s">
        <v>60</v>
      </c>
      <c r="B169" t="s">
        <v>298</v>
      </c>
      <c r="C169">
        <v>20358</v>
      </c>
      <c r="D169">
        <v>1</v>
      </c>
      <c r="E169">
        <v>100</v>
      </c>
      <c r="F169">
        <v>1</v>
      </c>
      <c r="G169">
        <f t="shared" si="12"/>
        <v>20358</v>
      </c>
      <c r="H169">
        <f t="shared" si="9"/>
        <v>1</v>
      </c>
      <c r="I169">
        <f t="shared" si="10"/>
        <v>20358</v>
      </c>
      <c r="J169">
        <f t="shared" si="11"/>
        <v>1</v>
      </c>
    </row>
    <row r="170" spans="1:10" x14ac:dyDescent="0.25">
      <c r="A170" t="s">
        <v>61</v>
      </c>
      <c r="B170" t="s">
        <v>299</v>
      </c>
      <c r="C170">
        <v>83.08</v>
      </c>
      <c r="D170">
        <v>0.01</v>
      </c>
      <c r="E170">
        <v>1000000</v>
      </c>
      <c r="F170">
        <v>8.49315</v>
      </c>
      <c r="G170">
        <f t="shared" si="12"/>
        <v>70561.090199999991</v>
      </c>
      <c r="H170">
        <f t="shared" si="9"/>
        <v>849.31499999999994</v>
      </c>
      <c r="I170">
        <f t="shared" si="10"/>
        <v>83.08</v>
      </c>
      <c r="J170">
        <f t="shared" si="11"/>
        <v>849.31499999999994</v>
      </c>
    </row>
    <row r="171" spans="1:10" x14ac:dyDescent="0.25">
      <c r="A171" t="s">
        <v>61</v>
      </c>
      <c r="B171" t="s">
        <v>300</v>
      </c>
      <c r="C171">
        <v>79.069999999999993</v>
      </c>
      <c r="D171">
        <v>0.01</v>
      </c>
      <c r="E171">
        <v>1000000</v>
      </c>
      <c r="F171">
        <v>7.6712300000000004</v>
      </c>
      <c r="G171">
        <f t="shared" si="12"/>
        <v>60656.415609999996</v>
      </c>
      <c r="H171">
        <f t="shared" si="9"/>
        <v>767.12300000000005</v>
      </c>
      <c r="I171">
        <f t="shared" si="10"/>
        <v>79.069999999999993</v>
      </c>
      <c r="J171">
        <f t="shared" si="11"/>
        <v>767.12300000000005</v>
      </c>
    </row>
    <row r="172" spans="1:10" x14ac:dyDescent="0.25">
      <c r="A172" t="s">
        <v>61</v>
      </c>
      <c r="B172" t="s">
        <v>301</v>
      </c>
      <c r="C172">
        <v>78.67</v>
      </c>
      <c r="D172">
        <v>0.01</v>
      </c>
      <c r="E172">
        <v>1000000</v>
      </c>
      <c r="F172">
        <v>8.49315</v>
      </c>
      <c r="G172">
        <f t="shared" si="12"/>
        <v>66815.611049999992</v>
      </c>
      <c r="H172">
        <f t="shared" si="9"/>
        <v>849.31499999999994</v>
      </c>
      <c r="I172">
        <f t="shared" si="10"/>
        <v>78.67</v>
      </c>
      <c r="J172">
        <f t="shared" si="11"/>
        <v>849.31499999999994</v>
      </c>
    </row>
    <row r="173" spans="1:10" x14ac:dyDescent="0.25">
      <c r="A173" t="s">
        <v>61</v>
      </c>
      <c r="B173" t="s">
        <v>302</v>
      </c>
      <c r="C173">
        <v>78.569999999999993</v>
      </c>
      <c r="D173">
        <v>0.01</v>
      </c>
      <c r="E173">
        <v>1000000</v>
      </c>
      <c r="F173">
        <v>8.2191799999999997</v>
      </c>
      <c r="G173">
        <f t="shared" si="12"/>
        <v>64578.097259999995</v>
      </c>
      <c r="H173">
        <f t="shared" si="9"/>
        <v>821.91800000000001</v>
      </c>
      <c r="I173">
        <f t="shared" si="10"/>
        <v>78.569999999999993</v>
      </c>
      <c r="J173">
        <f t="shared" si="11"/>
        <v>821.91800000000001</v>
      </c>
    </row>
    <row r="174" spans="1:10" x14ac:dyDescent="0.25">
      <c r="A174" t="s">
        <v>61</v>
      </c>
      <c r="B174" t="s">
        <v>303</v>
      </c>
      <c r="C174">
        <v>78.569999999999993</v>
      </c>
      <c r="D174">
        <v>0.01</v>
      </c>
      <c r="E174">
        <v>1000000</v>
      </c>
      <c r="F174">
        <v>8.2191799999999997</v>
      </c>
      <c r="G174">
        <f t="shared" si="12"/>
        <v>64578.097259999995</v>
      </c>
      <c r="H174">
        <f t="shared" si="9"/>
        <v>821.91800000000001</v>
      </c>
      <c r="I174">
        <f t="shared" si="10"/>
        <v>78.569999999999993</v>
      </c>
      <c r="J174">
        <f t="shared" si="11"/>
        <v>821.91800000000001</v>
      </c>
    </row>
    <row r="175" spans="1:10" x14ac:dyDescent="0.25">
      <c r="A175" t="s">
        <v>61</v>
      </c>
      <c r="B175" t="s">
        <v>304</v>
      </c>
      <c r="C175">
        <v>79.069999999999993</v>
      </c>
      <c r="D175">
        <v>0.01</v>
      </c>
      <c r="E175">
        <v>1000000</v>
      </c>
      <c r="F175">
        <v>8.49315</v>
      </c>
      <c r="G175">
        <f t="shared" si="12"/>
        <v>67155.337049999987</v>
      </c>
      <c r="H175">
        <f t="shared" si="9"/>
        <v>849.31499999999994</v>
      </c>
      <c r="I175">
        <f t="shared" si="10"/>
        <v>79.069999999999993</v>
      </c>
      <c r="J175">
        <f t="shared" si="11"/>
        <v>849.31499999999994</v>
      </c>
    </row>
    <row r="176" spans="1:10" x14ac:dyDescent="0.25">
      <c r="A176" t="s">
        <v>61</v>
      </c>
      <c r="B176" t="s">
        <v>305</v>
      </c>
      <c r="C176">
        <v>80.28</v>
      </c>
      <c r="D176">
        <v>0.01</v>
      </c>
      <c r="E176">
        <v>1000000</v>
      </c>
      <c r="F176">
        <v>8.49315</v>
      </c>
      <c r="G176">
        <f t="shared" si="12"/>
        <v>68183.008199999997</v>
      </c>
      <c r="H176">
        <f t="shared" si="9"/>
        <v>849.31499999999994</v>
      </c>
      <c r="I176">
        <f t="shared" si="10"/>
        <v>80.28</v>
      </c>
      <c r="J176">
        <f t="shared" si="11"/>
        <v>849.31499999999994</v>
      </c>
    </row>
    <row r="177" spans="1:10" x14ac:dyDescent="0.25">
      <c r="A177" t="s">
        <v>61</v>
      </c>
      <c r="B177" t="s">
        <v>306</v>
      </c>
      <c r="C177">
        <v>80.08</v>
      </c>
      <c r="D177">
        <v>0.01</v>
      </c>
      <c r="E177">
        <v>1000000</v>
      </c>
      <c r="F177">
        <v>7.9452100000000003</v>
      </c>
      <c r="G177">
        <f t="shared" si="12"/>
        <v>63625.241680000006</v>
      </c>
      <c r="H177">
        <f t="shared" si="9"/>
        <v>794.52100000000007</v>
      </c>
      <c r="I177">
        <f t="shared" si="10"/>
        <v>80.08</v>
      </c>
      <c r="J177">
        <f t="shared" si="11"/>
        <v>794.52100000000007</v>
      </c>
    </row>
    <row r="178" spans="1:10" x14ac:dyDescent="0.25">
      <c r="A178" t="s">
        <v>61</v>
      </c>
      <c r="B178" t="s">
        <v>307</v>
      </c>
      <c r="C178">
        <v>80.680000000000007</v>
      </c>
      <c r="D178">
        <v>0.01</v>
      </c>
      <c r="E178">
        <v>1000000</v>
      </c>
      <c r="F178">
        <v>8.7671200000000002</v>
      </c>
      <c r="G178">
        <f t="shared" si="12"/>
        <v>70733.124160000007</v>
      </c>
      <c r="H178">
        <f t="shared" si="9"/>
        <v>876.71199999999999</v>
      </c>
      <c r="I178">
        <f t="shared" si="10"/>
        <v>80.680000000000007</v>
      </c>
      <c r="J178">
        <f t="shared" si="11"/>
        <v>876.71199999999999</v>
      </c>
    </row>
    <row r="179" spans="1:10" x14ac:dyDescent="0.25">
      <c r="A179" t="s">
        <v>61</v>
      </c>
      <c r="B179" t="s">
        <v>308</v>
      </c>
      <c r="C179">
        <v>81.3</v>
      </c>
      <c r="D179">
        <v>0.01</v>
      </c>
      <c r="E179">
        <v>1000000</v>
      </c>
      <c r="F179">
        <v>8.49315</v>
      </c>
      <c r="G179">
        <f t="shared" si="12"/>
        <v>69049.309499999988</v>
      </c>
      <c r="H179">
        <f t="shared" si="9"/>
        <v>849.31499999999994</v>
      </c>
      <c r="I179">
        <f t="shared" si="10"/>
        <v>81.3</v>
      </c>
      <c r="J179">
        <f t="shared" si="11"/>
        <v>849.31499999999994</v>
      </c>
    </row>
    <row r="180" spans="1:10" x14ac:dyDescent="0.25">
      <c r="A180" t="s">
        <v>61</v>
      </c>
      <c r="B180" t="s">
        <v>309</v>
      </c>
      <c r="C180">
        <v>82.08</v>
      </c>
      <c r="D180">
        <v>0.01</v>
      </c>
      <c r="E180">
        <v>1000000</v>
      </c>
      <c r="F180">
        <v>7.6712300000000004</v>
      </c>
      <c r="G180">
        <f t="shared" si="12"/>
        <v>62965.455840000002</v>
      </c>
      <c r="H180">
        <f t="shared" si="9"/>
        <v>767.12300000000005</v>
      </c>
      <c r="I180">
        <f t="shared" si="10"/>
        <v>82.08</v>
      </c>
      <c r="J180">
        <f t="shared" si="11"/>
        <v>767.12300000000005</v>
      </c>
    </row>
    <row r="181" spans="1:10" x14ac:dyDescent="0.25">
      <c r="A181" t="s">
        <v>61</v>
      </c>
      <c r="B181" t="s">
        <v>310</v>
      </c>
      <c r="C181">
        <v>82.41</v>
      </c>
      <c r="D181">
        <v>0.01</v>
      </c>
      <c r="E181">
        <v>1000000</v>
      </c>
      <c r="F181">
        <v>8.7671200000000002</v>
      </c>
      <c r="G181">
        <f t="shared" si="12"/>
        <v>72249.835919999998</v>
      </c>
      <c r="H181">
        <f t="shared" si="9"/>
        <v>876.71199999999999</v>
      </c>
      <c r="I181">
        <f t="shared" si="10"/>
        <v>82.41</v>
      </c>
      <c r="J181">
        <f t="shared" si="11"/>
        <v>876.71199999999999</v>
      </c>
    </row>
    <row r="182" spans="1:10" x14ac:dyDescent="0.25">
      <c r="A182" t="s">
        <v>62</v>
      </c>
      <c r="B182" t="s">
        <v>311</v>
      </c>
      <c r="C182">
        <v>34712</v>
      </c>
      <c r="D182">
        <v>1</v>
      </c>
      <c r="E182">
        <v>1000</v>
      </c>
      <c r="F182">
        <v>1</v>
      </c>
      <c r="G182">
        <f t="shared" si="12"/>
        <v>34712</v>
      </c>
      <c r="H182">
        <f t="shared" si="9"/>
        <v>1</v>
      </c>
      <c r="I182">
        <f t="shared" si="10"/>
        <v>34712</v>
      </c>
      <c r="J182">
        <f t="shared" si="11"/>
        <v>1</v>
      </c>
    </row>
    <row r="183" spans="1:10" x14ac:dyDescent="0.25">
      <c r="A183" t="s">
        <v>62</v>
      </c>
      <c r="B183" t="s">
        <v>312</v>
      </c>
      <c r="C183">
        <v>36292</v>
      </c>
      <c r="D183">
        <v>1</v>
      </c>
      <c r="E183">
        <v>1000</v>
      </c>
      <c r="F183">
        <v>1</v>
      </c>
      <c r="G183">
        <f t="shared" si="12"/>
        <v>36292</v>
      </c>
      <c r="H183">
        <f t="shared" si="9"/>
        <v>1</v>
      </c>
      <c r="I183">
        <f t="shared" si="10"/>
        <v>36292</v>
      </c>
      <c r="J183">
        <f t="shared" si="11"/>
        <v>1</v>
      </c>
    </row>
    <row r="184" spans="1:10" x14ac:dyDescent="0.25">
      <c r="A184" t="s">
        <v>63</v>
      </c>
      <c r="B184" t="s">
        <v>313</v>
      </c>
      <c r="C184">
        <v>3039.55</v>
      </c>
      <c r="D184">
        <v>0.05</v>
      </c>
      <c r="E184">
        <v>1</v>
      </c>
      <c r="F184">
        <v>0.5</v>
      </c>
      <c r="G184">
        <f t="shared" si="12"/>
        <v>30395.5</v>
      </c>
      <c r="H184">
        <f t="shared" si="9"/>
        <v>10</v>
      </c>
      <c r="I184">
        <f t="shared" si="10"/>
        <v>3039.55</v>
      </c>
      <c r="J184">
        <f t="shared" si="11"/>
        <v>10</v>
      </c>
    </row>
    <row r="185" spans="1:10" x14ac:dyDescent="0.25">
      <c r="A185" t="s">
        <v>63</v>
      </c>
      <c r="B185" t="s">
        <v>314</v>
      </c>
      <c r="C185">
        <v>3384</v>
      </c>
      <c r="D185">
        <v>0.05</v>
      </c>
      <c r="E185">
        <v>1</v>
      </c>
      <c r="F185">
        <v>0.5</v>
      </c>
      <c r="G185">
        <f t="shared" si="12"/>
        <v>33840</v>
      </c>
      <c r="H185">
        <f t="shared" si="9"/>
        <v>10</v>
      </c>
      <c r="I185">
        <f t="shared" si="10"/>
        <v>3384</v>
      </c>
      <c r="J185">
        <f t="shared" si="11"/>
        <v>10</v>
      </c>
    </row>
    <row r="186" spans="1:10" x14ac:dyDescent="0.25">
      <c r="A186" t="s">
        <v>63</v>
      </c>
      <c r="B186" t="s">
        <v>315</v>
      </c>
      <c r="C186">
        <v>3739</v>
      </c>
      <c r="D186">
        <v>0.05</v>
      </c>
      <c r="E186">
        <v>1</v>
      </c>
      <c r="F186">
        <v>0.5</v>
      </c>
      <c r="G186">
        <f t="shared" si="12"/>
        <v>37390</v>
      </c>
      <c r="H186">
        <f t="shared" si="9"/>
        <v>10</v>
      </c>
      <c r="I186">
        <f t="shared" si="10"/>
        <v>3739</v>
      </c>
      <c r="J186">
        <f t="shared" si="11"/>
        <v>10</v>
      </c>
    </row>
    <row r="187" spans="1:10" x14ac:dyDescent="0.25">
      <c r="A187" t="s">
        <v>63</v>
      </c>
      <c r="B187" t="s">
        <v>316</v>
      </c>
      <c r="C187">
        <v>3154.15</v>
      </c>
      <c r="D187">
        <v>0.05</v>
      </c>
      <c r="E187">
        <v>1</v>
      </c>
      <c r="F187">
        <v>0.5</v>
      </c>
      <c r="G187">
        <f t="shared" si="12"/>
        <v>31541.5</v>
      </c>
      <c r="H187">
        <f t="shared" si="9"/>
        <v>10</v>
      </c>
      <c r="I187">
        <f t="shared" si="10"/>
        <v>3154.15</v>
      </c>
      <c r="J187">
        <f t="shared" si="11"/>
        <v>10</v>
      </c>
    </row>
    <row r="188" spans="1:10" x14ac:dyDescent="0.25">
      <c r="A188" t="s">
        <v>63</v>
      </c>
      <c r="B188" t="s">
        <v>317</v>
      </c>
      <c r="C188">
        <v>3471.2</v>
      </c>
      <c r="D188">
        <v>0.05</v>
      </c>
      <c r="E188">
        <v>1</v>
      </c>
      <c r="F188">
        <v>0.5</v>
      </c>
      <c r="G188">
        <f t="shared" si="12"/>
        <v>34712</v>
      </c>
      <c r="H188">
        <f t="shared" si="9"/>
        <v>10</v>
      </c>
      <c r="I188">
        <f t="shared" si="10"/>
        <v>3471.2</v>
      </c>
      <c r="J188">
        <f t="shared" si="11"/>
        <v>10</v>
      </c>
    </row>
    <row r="189" spans="1:10" x14ac:dyDescent="0.25">
      <c r="A189" t="s">
        <v>63</v>
      </c>
      <c r="B189" t="s">
        <v>318</v>
      </c>
      <c r="C189">
        <v>3852.65</v>
      </c>
      <c r="D189">
        <v>0.05</v>
      </c>
      <c r="E189">
        <v>1</v>
      </c>
      <c r="F189">
        <v>0.5</v>
      </c>
      <c r="G189">
        <f t="shared" si="12"/>
        <v>38526.5</v>
      </c>
      <c r="H189">
        <f t="shared" si="9"/>
        <v>10</v>
      </c>
      <c r="I189">
        <f t="shared" si="10"/>
        <v>3852.65</v>
      </c>
      <c r="J189">
        <f t="shared" si="11"/>
        <v>10</v>
      </c>
    </row>
    <row r="190" spans="1:10" x14ac:dyDescent="0.25">
      <c r="A190" t="s">
        <v>63</v>
      </c>
      <c r="B190" t="s">
        <v>319</v>
      </c>
      <c r="C190">
        <v>3235.4</v>
      </c>
      <c r="D190">
        <v>0.05</v>
      </c>
      <c r="E190">
        <v>1</v>
      </c>
      <c r="F190">
        <v>0.5</v>
      </c>
      <c r="G190">
        <f t="shared" si="12"/>
        <v>32354</v>
      </c>
      <c r="H190">
        <f t="shared" si="9"/>
        <v>10</v>
      </c>
      <c r="I190">
        <f t="shared" si="10"/>
        <v>3235.4</v>
      </c>
      <c r="J190">
        <f t="shared" si="11"/>
        <v>10</v>
      </c>
    </row>
    <row r="191" spans="1:10" x14ac:dyDescent="0.25">
      <c r="A191" t="s">
        <v>63</v>
      </c>
      <c r="B191" t="s">
        <v>320</v>
      </c>
      <c r="C191">
        <v>3538.85</v>
      </c>
      <c r="D191">
        <v>0.05</v>
      </c>
      <c r="E191">
        <v>1</v>
      </c>
      <c r="F191">
        <v>0.5</v>
      </c>
      <c r="G191">
        <f t="shared" si="12"/>
        <v>35388.5</v>
      </c>
      <c r="H191">
        <f t="shared" si="9"/>
        <v>10</v>
      </c>
      <c r="I191">
        <f t="shared" si="10"/>
        <v>3538.85</v>
      </c>
      <c r="J191">
        <f t="shared" si="11"/>
        <v>10</v>
      </c>
    </row>
    <row r="192" spans="1:10" x14ac:dyDescent="0.25">
      <c r="A192" t="s">
        <v>63</v>
      </c>
      <c r="B192" t="s">
        <v>321</v>
      </c>
      <c r="C192">
        <v>3305</v>
      </c>
      <c r="D192">
        <v>0.05</v>
      </c>
      <c r="E192">
        <v>1</v>
      </c>
      <c r="F192">
        <v>0.5</v>
      </c>
      <c r="G192">
        <f t="shared" si="12"/>
        <v>33050</v>
      </c>
      <c r="H192">
        <f t="shared" si="9"/>
        <v>10</v>
      </c>
      <c r="I192">
        <f t="shared" si="10"/>
        <v>3305</v>
      </c>
      <c r="J192">
        <f t="shared" si="11"/>
        <v>10</v>
      </c>
    </row>
    <row r="193" spans="1:10" x14ac:dyDescent="0.25">
      <c r="A193" t="s">
        <v>63</v>
      </c>
      <c r="B193" t="s">
        <v>322</v>
      </c>
      <c r="C193">
        <v>3644.1</v>
      </c>
      <c r="D193">
        <v>0.05</v>
      </c>
      <c r="E193">
        <v>1</v>
      </c>
      <c r="F193">
        <v>0.5</v>
      </c>
      <c r="G193">
        <f t="shared" si="12"/>
        <v>36441</v>
      </c>
      <c r="H193">
        <f t="shared" si="9"/>
        <v>10</v>
      </c>
      <c r="I193">
        <f t="shared" si="10"/>
        <v>3644.1</v>
      </c>
      <c r="J193">
        <f t="shared" si="11"/>
        <v>10</v>
      </c>
    </row>
    <row r="194" spans="1:10" x14ac:dyDescent="0.25">
      <c r="A194" t="s">
        <v>63</v>
      </c>
      <c r="B194" t="s">
        <v>323</v>
      </c>
      <c r="C194">
        <v>4002.1</v>
      </c>
      <c r="D194">
        <v>0.05</v>
      </c>
      <c r="E194">
        <v>1</v>
      </c>
      <c r="F194">
        <v>0.5</v>
      </c>
      <c r="G194">
        <f t="shared" si="12"/>
        <v>40021</v>
      </c>
      <c r="H194">
        <f t="shared" si="9"/>
        <v>10</v>
      </c>
      <c r="I194">
        <f t="shared" si="10"/>
        <v>4002.1</v>
      </c>
      <c r="J194">
        <f t="shared" si="11"/>
        <v>10</v>
      </c>
    </row>
    <row r="195" spans="1:10" x14ac:dyDescent="0.25">
      <c r="A195" t="s">
        <v>64</v>
      </c>
      <c r="B195" t="s">
        <v>324</v>
      </c>
      <c r="C195">
        <v>4800</v>
      </c>
      <c r="D195">
        <v>1</v>
      </c>
      <c r="E195">
        <v>1</v>
      </c>
      <c r="F195">
        <v>1</v>
      </c>
      <c r="G195">
        <f t="shared" si="12"/>
        <v>4800</v>
      </c>
      <c r="H195">
        <f t="shared" ref="H195:H258" si="13">F195/D195</f>
        <v>1</v>
      </c>
      <c r="I195">
        <f t="shared" ref="I195:I258" si="14">G195/H195</f>
        <v>4800</v>
      </c>
      <c r="J195">
        <f t="shared" ref="J195:J258" si="15">F195/D195</f>
        <v>1</v>
      </c>
    </row>
    <row r="196" spans="1:10" x14ac:dyDescent="0.25">
      <c r="A196" t="s">
        <v>64</v>
      </c>
      <c r="B196" t="s">
        <v>325</v>
      </c>
      <c r="C196">
        <v>4899</v>
      </c>
      <c r="D196">
        <v>1</v>
      </c>
      <c r="E196">
        <v>1</v>
      </c>
      <c r="F196">
        <v>1</v>
      </c>
      <c r="G196">
        <f t="shared" si="12"/>
        <v>4899</v>
      </c>
      <c r="H196">
        <f t="shared" si="13"/>
        <v>1</v>
      </c>
      <c r="I196">
        <f t="shared" si="14"/>
        <v>4899</v>
      </c>
      <c r="J196">
        <f t="shared" si="15"/>
        <v>1</v>
      </c>
    </row>
    <row r="197" spans="1:10" x14ac:dyDescent="0.25">
      <c r="A197" t="s">
        <v>65</v>
      </c>
      <c r="B197" t="s">
        <v>326</v>
      </c>
      <c r="C197">
        <v>23109</v>
      </c>
      <c r="D197">
        <v>1</v>
      </c>
      <c r="E197">
        <v>100</v>
      </c>
      <c r="F197">
        <v>1</v>
      </c>
      <c r="G197">
        <f t="shared" si="12"/>
        <v>23109</v>
      </c>
      <c r="H197">
        <f t="shared" si="13"/>
        <v>1</v>
      </c>
      <c r="I197">
        <f t="shared" si="14"/>
        <v>23109</v>
      </c>
      <c r="J197">
        <f t="shared" si="15"/>
        <v>1</v>
      </c>
    </row>
    <row r="198" spans="1:10" x14ac:dyDescent="0.25">
      <c r="A198" t="s">
        <v>65</v>
      </c>
      <c r="B198" t="s">
        <v>327</v>
      </c>
      <c r="C198">
        <v>24389</v>
      </c>
      <c r="D198">
        <v>1</v>
      </c>
      <c r="E198">
        <v>100</v>
      </c>
      <c r="F198">
        <v>1</v>
      </c>
      <c r="G198">
        <f t="shared" si="12"/>
        <v>24389</v>
      </c>
      <c r="H198">
        <f t="shared" si="13"/>
        <v>1</v>
      </c>
      <c r="I198">
        <f t="shared" si="14"/>
        <v>24389</v>
      </c>
      <c r="J198">
        <f t="shared" si="15"/>
        <v>1</v>
      </c>
    </row>
    <row r="199" spans="1:10" x14ac:dyDescent="0.25">
      <c r="A199" t="s">
        <v>66</v>
      </c>
      <c r="B199" t="s">
        <v>328</v>
      </c>
      <c r="C199">
        <v>1047</v>
      </c>
      <c r="D199">
        <v>1</v>
      </c>
      <c r="E199">
        <v>10</v>
      </c>
      <c r="F199">
        <v>1</v>
      </c>
      <c r="G199">
        <f t="shared" si="12"/>
        <v>1047</v>
      </c>
      <c r="H199">
        <f t="shared" si="13"/>
        <v>1</v>
      </c>
      <c r="I199">
        <f t="shared" si="14"/>
        <v>1047</v>
      </c>
      <c r="J199">
        <f t="shared" si="15"/>
        <v>1</v>
      </c>
    </row>
    <row r="200" spans="1:10" x14ac:dyDescent="0.25">
      <c r="A200" t="s">
        <v>66</v>
      </c>
      <c r="B200" t="s">
        <v>329</v>
      </c>
      <c r="C200">
        <v>1077</v>
      </c>
      <c r="D200">
        <v>1</v>
      </c>
      <c r="E200">
        <v>10</v>
      </c>
      <c r="F200">
        <v>1</v>
      </c>
      <c r="G200">
        <f t="shared" si="12"/>
        <v>1077</v>
      </c>
      <c r="H200">
        <f t="shared" si="13"/>
        <v>1</v>
      </c>
      <c r="I200">
        <f t="shared" si="14"/>
        <v>1077</v>
      </c>
      <c r="J200">
        <f t="shared" si="15"/>
        <v>1</v>
      </c>
    </row>
    <row r="201" spans="1:10" x14ac:dyDescent="0.25">
      <c r="A201" t="s">
        <v>67</v>
      </c>
      <c r="B201" t="s">
        <v>330</v>
      </c>
      <c r="C201">
        <v>303950</v>
      </c>
      <c r="D201">
        <v>25</v>
      </c>
      <c r="E201">
        <v>1</v>
      </c>
      <c r="F201">
        <v>25</v>
      </c>
      <c r="G201">
        <f t="shared" si="12"/>
        <v>303950</v>
      </c>
      <c r="H201">
        <f t="shared" si="13"/>
        <v>1</v>
      </c>
      <c r="I201">
        <f t="shared" si="14"/>
        <v>303950</v>
      </c>
      <c r="J201">
        <f t="shared" si="15"/>
        <v>1</v>
      </c>
    </row>
    <row r="202" spans="1:10" x14ac:dyDescent="0.25">
      <c r="A202" t="s">
        <v>67</v>
      </c>
      <c r="B202" t="s">
        <v>331</v>
      </c>
      <c r="C202">
        <v>316300</v>
      </c>
      <c r="D202">
        <v>25</v>
      </c>
      <c r="E202">
        <v>1</v>
      </c>
      <c r="F202">
        <v>25</v>
      </c>
      <c r="G202">
        <f t="shared" si="12"/>
        <v>316300</v>
      </c>
      <c r="H202">
        <f t="shared" si="13"/>
        <v>1</v>
      </c>
      <c r="I202">
        <f t="shared" si="14"/>
        <v>316300</v>
      </c>
      <c r="J202">
        <f t="shared" si="15"/>
        <v>1</v>
      </c>
    </row>
    <row r="203" spans="1:10" x14ac:dyDescent="0.25">
      <c r="A203" t="s">
        <v>67</v>
      </c>
      <c r="B203" t="s">
        <v>332</v>
      </c>
      <c r="C203">
        <v>323600</v>
      </c>
      <c r="D203">
        <v>25</v>
      </c>
      <c r="E203">
        <v>1</v>
      </c>
      <c r="F203">
        <v>25</v>
      </c>
      <c r="G203">
        <f t="shared" si="12"/>
        <v>323600</v>
      </c>
      <c r="H203">
        <f t="shared" si="13"/>
        <v>1</v>
      </c>
      <c r="I203">
        <f t="shared" si="14"/>
        <v>323600</v>
      </c>
      <c r="J203">
        <f t="shared" si="15"/>
        <v>1</v>
      </c>
    </row>
    <row r="204" spans="1:10" x14ac:dyDescent="0.25">
      <c r="A204" t="s">
        <v>67</v>
      </c>
      <c r="B204" t="s">
        <v>333</v>
      </c>
      <c r="C204">
        <v>332025</v>
      </c>
      <c r="D204">
        <v>25</v>
      </c>
      <c r="E204">
        <v>1</v>
      </c>
      <c r="F204">
        <v>25</v>
      </c>
      <c r="G204">
        <f t="shared" si="12"/>
        <v>332025</v>
      </c>
      <c r="H204">
        <f t="shared" si="13"/>
        <v>1</v>
      </c>
      <c r="I204">
        <f t="shared" si="14"/>
        <v>332025</v>
      </c>
      <c r="J204">
        <f t="shared" si="15"/>
        <v>1</v>
      </c>
    </row>
    <row r="205" spans="1:10" x14ac:dyDescent="0.25">
      <c r="A205" t="s">
        <v>68</v>
      </c>
      <c r="B205" t="s">
        <v>334</v>
      </c>
      <c r="C205">
        <v>1026</v>
      </c>
      <c r="D205">
        <v>0.1</v>
      </c>
      <c r="E205">
        <v>1</v>
      </c>
      <c r="F205">
        <v>1.3327899999999999</v>
      </c>
      <c r="G205">
        <f t="shared" ref="G205:G268" si="16">(F205/D205)*C205</f>
        <v>13674.425399999998</v>
      </c>
      <c r="H205">
        <f t="shared" si="13"/>
        <v>13.327899999999998</v>
      </c>
      <c r="I205">
        <f t="shared" si="14"/>
        <v>1026</v>
      </c>
      <c r="J205">
        <f t="shared" si="15"/>
        <v>13.327899999999998</v>
      </c>
    </row>
    <row r="206" spans="1:10" x14ac:dyDescent="0.25">
      <c r="A206" t="s">
        <v>68</v>
      </c>
      <c r="B206" t="s">
        <v>335</v>
      </c>
      <c r="C206">
        <v>1042.4000000000001</v>
      </c>
      <c r="D206">
        <v>0.1</v>
      </c>
      <c r="E206">
        <v>1</v>
      </c>
      <c r="F206">
        <v>1.3327899999999999</v>
      </c>
      <c r="G206">
        <f t="shared" si="16"/>
        <v>13893.00296</v>
      </c>
      <c r="H206">
        <f t="shared" si="13"/>
        <v>13.327899999999998</v>
      </c>
      <c r="I206">
        <f t="shared" si="14"/>
        <v>1042.4000000000001</v>
      </c>
      <c r="J206">
        <f t="shared" si="15"/>
        <v>13.327899999999998</v>
      </c>
    </row>
    <row r="207" spans="1:10" x14ac:dyDescent="0.25">
      <c r="A207" t="s">
        <v>68</v>
      </c>
      <c r="B207" t="s">
        <v>336</v>
      </c>
      <c r="C207">
        <v>1067.5999999999999</v>
      </c>
      <c r="D207">
        <v>0.1</v>
      </c>
      <c r="E207">
        <v>1</v>
      </c>
      <c r="F207">
        <v>1.3327899999999999</v>
      </c>
      <c r="G207">
        <f t="shared" si="16"/>
        <v>14228.866039999997</v>
      </c>
      <c r="H207">
        <f t="shared" si="13"/>
        <v>13.327899999999998</v>
      </c>
      <c r="I207">
        <f t="shared" si="14"/>
        <v>1067.5999999999999</v>
      </c>
      <c r="J207">
        <f t="shared" si="15"/>
        <v>13.327899999999998</v>
      </c>
    </row>
    <row r="208" spans="1:10" x14ac:dyDescent="0.25">
      <c r="A208" t="s">
        <v>68</v>
      </c>
      <c r="B208" t="s">
        <v>337</v>
      </c>
      <c r="C208">
        <v>1140.2</v>
      </c>
      <c r="D208">
        <v>0.1</v>
      </c>
      <c r="E208">
        <v>1</v>
      </c>
      <c r="F208">
        <v>1.3327899999999999</v>
      </c>
      <c r="G208">
        <f t="shared" si="16"/>
        <v>15196.471579999998</v>
      </c>
      <c r="H208">
        <f t="shared" si="13"/>
        <v>13.327899999999998</v>
      </c>
      <c r="I208">
        <f t="shared" si="14"/>
        <v>1140.2</v>
      </c>
      <c r="J208">
        <f t="shared" si="15"/>
        <v>13.327899999999998</v>
      </c>
    </row>
    <row r="209" spans="1:10" x14ac:dyDescent="0.25">
      <c r="A209" t="s">
        <v>69</v>
      </c>
      <c r="B209" t="s">
        <v>338</v>
      </c>
      <c r="C209">
        <v>40413</v>
      </c>
      <c r="D209">
        <v>1</v>
      </c>
      <c r="E209">
        <v>1</v>
      </c>
      <c r="F209">
        <v>6.4329999999999998E-2</v>
      </c>
      <c r="G209">
        <f t="shared" si="16"/>
        <v>2599.76829</v>
      </c>
      <c r="H209">
        <f t="shared" si="13"/>
        <v>6.4329999999999998E-2</v>
      </c>
      <c r="I209">
        <f t="shared" si="14"/>
        <v>40413</v>
      </c>
      <c r="J209">
        <f t="shared" si="15"/>
        <v>6.4329999999999998E-2</v>
      </c>
    </row>
    <row r="210" spans="1:10" x14ac:dyDescent="0.25">
      <c r="A210" t="s">
        <v>69</v>
      </c>
      <c r="B210" t="s">
        <v>339</v>
      </c>
      <c r="C210">
        <v>40199</v>
      </c>
      <c r="D210">
        <v>1</v>
      </c>
      <c r="E210">
        <v>1</v>
      </c>
      <c r="F210">
        <v>6.4329999999999998E-2</v>
      </c>
      <c r="G210">
        <f t="shared" si="16"/>
        <v>2586.0016700000001</v>
      </c>
      <c r="H210">
        <f t="shared" si="13"/>
        <v>6.4329999999999998E-2</v>
      </c>
      <c r="I210">
        <f t="shared" si="14"/>
        <v>40199</v>
      </c>
      <c r="J210">
        <f t="shared" si="15"/>
        <v>6.4329999999999998E-2</v>
      </c>
    </row>
    <row r="211" spans="1:10" x14ac:dyDescent="0.25">
      <c r="A211" t="s">
        <v>69</v>
      </c>
      <c r="B211" t="s">
        <v>340</v>
      </c>
      <c r="C211">
        <v>40561</v>
      </c>
      <c r="D211">
        <v>1</v>
      </c>
      <c r="E211">
        <v>1</v>
      </c>
      <c r="F211">
        <v>6.4329999999999998E-2</v>
      </c>
      <c r="G211">
        <f t="shared" si="16"/>
        <v>2609.2891300000001</v>
      </c>
      <c r="H211">
        <f t="shared" si="13"/>
        <v>6.4329999999999998E-2</v>
      </c>
      <c r="I211">
        <f t="shared" si="14"/>
        <v>40561</v>
      </c>
      <c r="J211">
        <f t="shared" si="15"/>
        <v>6.4329999999999998E-2</v>
      </c>
    </row>
    <row r="212" spans="1:10" x14ac:dyDescent="0.25">
      <c r="A212" t="s">
        <v>69</v>
      </c>
      <c r="B212" t="s">
        <v>341</v>
      </c>
      <c r="C212">
        <v>41001</v>
      </c>
      <c r="D212">
        <v>1</v>
      </c>
      <c r="E212">
        <v>1</v>
      </c>
      <c r="F212">
        <v>6.4329999999999998E-2</v>
      </c>
      <c r="G212">
        <f t="shared" si="16"/>
        <v>2637.5943299999999</v>
      </c>
      <c r="H212">
        <f t="shared" si="13"/>
        <v>6.4329999999999998E-2</v>
      </c>
      <c r="I212">
        <f t="shared" si="14"/>
        <v>41001</v>
      </c>
      <c r="J212">
        <f t="shared" si="15"/>
        <v>6.4329999999999998E-2</v>
      </c>
    </row>
    <row r="213" spans="1:10" x14ac:dyDescent="0.25">
      <c r="A213" t="s">
        <v>70</v>
      </c>
      <c r="B213" t="s">
        <v>342</v>
      </c>
      <c r="C213">
        <v>21655</v>
      </c>
      <c r="D213">
        <v>1</v>
      </c>
      <c r="E213">
        <v>41</v>
      </c>
      <c r="F213">
        <v>0.97275999999999996</v>
      </c>
      <c r="G213">
        <f t="shared" si="16"/>
        <v>21065.1178</v>
      </c>
      <c r="H213">
        <f t="shared" si="13"/>
        <v>0.97275999999999996</v>
      </c>
      <c r="I213">
        <f t="shared" si="14"/>
        <v>21655</v>
      </c>
      <c r="J213">
        <f t="shared" si="15"/>
        <v>0.97275999999999996</v>
      </c>
    </row>
    <row r="214" spans="1:10" x14ac:dyDescent="0.25">
      <c r="A214" t="s">
        <v>70</v>
      </c>
      <c r="B214" t="s">
        <v>343</v>
      </c>
      <c r="C214">
        <v>21822</v>
      </c>
      <c r="D214">
        <v>1</v>
      </c>
      <c r="E214">
        <v>41</v>
      </c>
      <c r="F214">
        <v>0.97275999999999996</v>
      </c>
      <c r="G214">
        <f t="shared" si="16"/>
        <v>21227.568719999999</v>
      </c>
      <c r="H214">
        <f t="shared" si="13"/>
        <v>0.97275999999999996</v>
      </c>
      <c r="I214">
        <f t="shared" si="14"/>
        <v>21822</v>
      </c>
      <c r="J214">
        <f t="shared" si="15"/>
        <v>0.97275999999999996</v>
      </c>
    </row>
    <row r="215" spans="1:10" x14ac:dyDescent="0.25">
      <c r="A215" t="s">
        <v>70</v>
      </c>
      <c r="B215" t="s">
        <v>344</v>
      </c>
      <c r="C215">
        <v>21805</v>
      </c>
      <c r="D215">
        <v>1</v>
      </c>
      <c r="E215">
        <v>41</v>
      </c>
      <c r="F215">
        <v>0.97275999999999996</v>
      </c>
      <c r="G215">
        <f t="shared" si="16"/>
        <v>21211.031800000001</v>
      </c>
      <c r="H215">
        <f t="shared" si="13"/>
        <v>0.97275999999999996</v>
      </c>
      <c r="I215">
        <f t="shared" si="14"/>
        <v>21805</v>
      </c>
      <c r="J215">
        <f t="shared" si="15"/>
        <v>0.97275999999999996</v>
      </c>
    </row>
    <row r="216" spans="1:10" x14ac:dyDescent="0.25">
      <c r="A216" t="s">
        <v>70</v>
      </c>
      <c r="B216" t="s">
        <v>345</v>
      </c>
      <c r="C216">
        <v>21976</v>
      </c>
      <c r="D216">
        <v>1</v>
      </c>
      <c r="E216">
        <v>41</v>
      </c>
      <c r="F216">
        <v>0.97275999999999996</v>
      </c>
      <c r="G216">
        <f t="shared" si="16"/>
        <v>21377.373759999999</v>
      </c>
      <c r="H216">
        <f t="shared" si="13"/>
        <v>0.97275999999999996</v>
      </c>
      <c r="I216">
        <f t="shared" si="14"/>
        <v>21976</v>
      </c>
      <c r="J216">
        <f t="shared" si="15"/>
        <v>0.97275999999999996</v>
      </c>
    </row>
    <row r="217" spans="1:10" x14ac:dyDescent="0.25">
      <c r="A217" t="s">
        <v>71</v>
      </c>
      <c r="B217" t="s">
        <v>346</v>
      </c>
      <c r="C217">
        <v>527</v>
      </c>
      <c r="D217">
        <v>1</v>
      </c>
      <c r="E217">
        <v>1</v>
      </c>
      <c r="F217">
        <v>1</v>
      </c>
      <c r="G217">
        <f t="shared" si="16"/>
        <v>527</v>
      </c>
      <c r="H217">
        <f t="shared" si="13"/>
        <v>1</v>
      </c>
      <c r="I217">
        <f t="shared" si="14"/>
        <v>527</v>
      </c>
      <c r="J217">
        <f t="shared" si="15"/>
        <v>1</v>
      </c>
    </row>
    <row r="218" spans="1:10" x14ac:dyDescent="0.25">
      <c r="A218" t="s">
        <v>71</v>
      </c>
      <c r="B218" t="s">
        <v>347</v>
      </c>
      <c r="C218">
        <v>540</v>
      </c>
      <c r="D218">
        <v>1</v>
      </c>
      <c r="E218">
        <v>1</v>
      </c>
      <c r="F218">
        <v>1</v>
      </c>
      <c r="G218">
        <f t="shared" si="16"/>
        <v>540</v>
      </c>
      <c r="H218">
        <f t="shared" si="13"/>
        <v>1</v>
      </c>
      <c r="I218">
        <f t="shared" si="14"/>
        <v>540</v>
      </c>
      <c r="J218">
        <f t="shared" si="15"/>
        <v>1</v>
      </c>
    </row>
    <row r="219" spans="1:10" x14ac:dyDescent="0.25">
      <c r="A219" t="s">
        <v>72</v>
      </c>
      <c r="B219" t="s">
        <v>348</v>
      </c>
      <c r="C219">
        <v>15705</v>
      </c>
      <c r="D219">
        <v>5</v>
      </c>
      <c r="E219">
        <v>10</v>
      </c>
      <c r="F219">
        <v>4.86381</v>
      </c>
      <c r="G219">
        <f t="shared" si="16"/>
        <v>15277.227210000001</v>
      </c>
      <c r="H219">
        <f t="shared" si="13"/>
        <v>0.97276200000000002</v>
      </c>
      <c r="I219">
        <f t="shared" si="14"/>
        <v>15705</v>
      </c>
      <c r="J219">
        <f t="shared" si="15"/>
        <v>0.97276200000000002</v>
      </c>
    </row>
    <row r="220" spans="1:10" x14ac:dyDescent="0.25">
      <c r="A220" t="s">
        <v>72</v>
      </c>
      <c r="B220" t="s">
        <v>349</v>
      </c>
      <c r="C220">
        <v>16265</v>
      </c>
      <c r="D220">
        <v>5</v>
      </c>
      <c r="E220">
        <v>10</v>
      </c>
      <c r="F220">
        <v>4.86381</v>
      </c>
      <c r="G220">
        <f t="shared" si="16"/>
        <v>15821.97393</v>
      </c>
      <c r="H220">
        <f t="shared" si="13"/>
        <v>0.97276200000000002</v>
      </c>
      <c r="I220">
        <f t="shared" si="14"/>
        <v>16265</v>
      </c>
      <c r="J220">
        <f t="shared" si="15"/>
        <v>0.97276200000000002</v>
      </c>
    </row>
    <row r="221" spans="1:10" x14ac:dyDescent="0.25">
      <c r="A221" t="s">
        <v>73</v>
      </c>
      <c r="B221" t="s">
        <v>350</v>
      </c>
      <c r="C221">
        <v>3.3820000000000001</v>
      </c>
      <c r="D221">
        <v>1E-3</v>
      </c>
      <c r="E221">
        <v>100</v>
      </c>
      <c r="F221">
        <v>9.7276199999999999</v>
      </c>
      <c r="G221">
        <f t="shared" si="16"/>
        <v>32898.810839999998</v>
      </c>
      <c r="H221">
        <f t="shared" si="13"/>
        <v>9727.619999999999</v>
      </c>
      <c r="I221">
        <f t="shared" si="14"/>
        <v>3.3820000000000001</v>
      </c>
      <c r="J221">
        <f t="shared" si="15"/>
        <v>9727.619999999999</v>
      </c>
    </row>
    <row r="222" spans="1:10" x14ac:dyDescent="0.25">
      <c r="A222" t="s">
        <v>73</v>
      </c>
      <c r="B222" t="s">
        <v>351</v>
      </c>
      <c r="C222">
        <v>3.38</v>
      </c>
      <c r="D222">
        <v>1E-3</v>
      </c>
      <c r="E222">
        <v>100</v>
      </c>
      <c r="F222">
        <v>9.7276199999999999</v>
      </c>
      <c r="G222">
        <f t="shared" si="16"/>
        <v>32879.355599999995</v>
      </c>
      <c r="H222">
        <f t="shared" si="13"/>
        <v>9727.619999999999</v>
      </c>
      <c r="I222">
        <f t="shared" si="14"/>
        <v>3.38</v>
      </c>
      <c r="J222">
        <f t="shared" si="15"/>
        <v>9727.619999999999</v>
      </c>
    </row>
    <row r="223" spans="1:10" x14ac:dyDescent="0.25">
      <c r="A223" t="s">
        <v>73</v>
      </c>
      <c r="B223" t="s">
        <v>352</v>
      </c>
      <c r="C223">
        <v>3.4449999999999998</v>
      </c>
      <c r="D223">
        <v>1E-3</v>
      </c>
      <c r="E223">
        <v>100</v>
      </c>
      <c r="F223">
        <v>9.7276199999999999</v>
      </c>
      <c r="G223">
        <f t="shared" si="16"/>
        <v>33511.650899999993</v>
      </c>
      <c r="H223">
        <f t="shared" si="13"/>
        <v>9727.619999999999</v>
      </c>
      <c r="I223">
        <f t="shared" si="14"/>
        <v>3.4449999999999998</v>
      </c>
      <c r="J223">
        <f t="shared" si="15"/>
        <v>9727.619999999999</v>
      </c>
    </row>
    <row r="224" spans="1:10" x14ac:dyDescent="0.25">
      <c r="A224" t="s">
        <v>73</v>
      </c>
      <c r="B224" t="s">
        <v>353</v>
      </c>
      <c r="C224">
        <v>3.5910000000000002</v>
      </c>
      <c r="D224">
        <v>1E-3</v>
      </c>
      <c r="E224">
        <v>100</v>
      </c>
      <c r="F224">
        <v>9.7276199999999999</v>
      </c>
      <c r="G224">
        <f t="shared" si="16"/>
        <v>34931.883419999998</v>
      </c>
      <c r="H224">
        <f t="shared" si="13"/>
        <v>9727.619999999999</v>
      </c>
      <c r="I224">
        <f t="shared" si="14"/>
        <v>3.5910000000000002</v>
      </c>
      <c r="J224">
        <f t="shared" si="15"/>
        <v>9727.619999999999</v>
      </c>
    </row>
    <row r="225" spans="1:10" x14ac:dyDescent="0.25">
      <c r="A225" t="s">
        <v>73</v>
      </c>
      <c r="B225" t="s">
        <v>354</v>
      </c>
      <c r="C225">
        <v>3.6920000000000002</v>
      </c>
      <c r="D225">
        <v>1E-3</v>
      </c>
      <c r="E225">
        <v>100</v>
      </c>
      <c r="F225">
        <v>9.7276199999999999</v>
      </c>
      <c r="G225">
        <f t="shared" si="16"/>
        <v>35914.373039999999</v>
      </c>
      <c r="H225">
        <f t="shared" si="13"/>
        <v>9727.619999999999</v>
      </c>
      <c r="I225">
        <f t="shared" si="14"/>
        <v>3.6920000000000002</v>
      </c>
      <c r="J225">
        <f t="shared" si="15"/>
        <v>9727.619999999999</v>
      </c>
    </row>
    <row r="226" spans="1:10" x14ac:dyDescent="0.25">
      <c r="A226" t="s">
        <v>73</v>
      </c>
      <c r="B226" t="s">
        <v>355</v>
      </c>
      <c r="C226">
        <v>3.7</v>
      </c>
      <c r="D226">
        <v>1E-3</v>
      </c>
      <c r="E226">
        <v>100</v>
      </c>
      <c r="F226">
        <v>9.7276199999999999</v>
      </c>
      <c r="G226">
        <f t="shared" si="16"/>
        <v>35992.193999999996</v>
      </c>
      <c r="H226">
        <f t="shared" si="13"/>
        <v>9727.619999999999</v>
      </c>
      <c r="I226">
        <f t="shared" si="14"/>
        <v>3.7</v>
      </c>
      <c r="J226">
        <f t="shared" si="15"/>
        <v>9727.619999999999</v>
      </c>
    </row>
    <row r="227" spans="1:10" x14ac:dyDescent="0.25">
      <c r="A227" t="s">
        <v>74</v>
      </c>
      <c r="B227" t="s">
        <v>356</v>
      </c>
      <c r="C227">
        <v>112064</v>
      </c>
      <c r="D227">
        <v>1</v>
      </c>
      <c r="E227">
        <v>100</v>
      </c>
      <c r="F227">
        <v>1</v>
      </c>
      <c r="G227">
        <f t="shared" si="16"/>
        <v>112064</v>
      </c>
      <c r="H227">
        <f t="shared" si="13"/>
        <v>1</v>
      </c>
      <c r="I227">
        <f t="shared" si="14"/>
        <v>112064</v>
      </c>
      <c r="J227">
        <f t="shared" si="15"/>
        <v>1</v>
      </c>
    </row>
    <row r="228" spans="1:10" x14ac:dyDescent="0.25">
      <c r="A228" t="s">
        <v>74</v>
      </c>
      <c r="B228" t="s">
        <v>357</v>
      </c>
      <c r="C228">
        <v>113793</v>
      </c>
      <c r="D228">
        <v>1</v>
      </c>
      <c r="E228">
        <v>100</v>
      </c>
      <c r="F228">
        <v>1</v>
      </c>
      <c r="G228">
        <f t="shared" si="16"/>
        <v>113793</v>
      </c>
      <c r="H228">
        <f t="shared" si="13"/>
        <v>1</v>
      </c>
      <c r="I228">
        <f t="shared" si="14"/>
        <v>113793</v>
      </c>
      <c r="J228">
        <f t="shared" si="15"/>
        <v>1</v>
      </c>
    </row>
    <row r="229" spans="1:10" x14ac:dyDescent="0.25">
      <c r="A229" t="s">
        <v>75</v>
      </c>
      <c r="B229" t="s">
        <v>358</v>
      </c>
      <c r="C229">
        <v>14376</v>
      </c>
      <c r="D229">
        <v>1</v>
      </c>
      <c r="E229">
        <v>100</v>
      </c>
      <c r="F229">
        <v>1</v>
      </c>
      <c r="G229">
        <f t="shared" si="16"/>
        <v>14376</v>
      </c>
      <c r="H229">
        <f t="shared" si="13"/>
        <v>1</v>
      </c>
      <c r="I229">
        <f t="shared" si="14"/>
        <v>14376</v>
      </c>
      <c r="J229">
        <f t="shared" si="15"/>
        <v>1</v>
      </c>
    </row>
    <row r="230" spans="1:10" x14ac:dyDescent="0.25">
      <c r="A230" t="s">
        <v>75</v>
      </c>
      <c r="B230" t="s">
        <v>359</v>
      </c>
      <c r="C230">
        <v>14769</v>
      </c>
      <c r="D230">
        <v>1</v>
      </c>
      <c r="E230">
        <v>100</v>
      </c>
      <c r="F230">
        <v>1</v>
      </c>
      <c r="G230">
        <f t="shared" si="16"/>
        <v>14769</v>
      </c>
      <c r="H230">
        <f t="shared" si="13"/>
        <v>1</v>
      </c>
      <c r="I230">
        <f t="shared" si="14"/>
        <v>14769</v>
      </c>
      <c r="J230">
        <f t="shared" si="15"/>
        <v>1</v>
      </c>
    </row>
    <row r="231" spans="1:10" x14ac:dyDescent="0.25">
      <c r="A231" t="s">
        <v>76</v>
      </c>
      <c r="B231" t="s">
        <v>360</v>
      </c>
      <c r="C231">
        <v>3.3839999999999999</v>
      </c>
      <c r="D231">
        <v>1E-3</v>
      </c>
      <c r="E231">
        <v>1</v>
      </c>
      <c r="F231">
        <v>9.7280000000000005E-2</v>
      </c>
      <c r="G231">
        <f t="shared" si="16"/>
        <v>329.19551999999999</v>
      </c>
      <c r="H231">
        <f t="shared" si="13"/>
        <v>97.28</v>
      </c>
      <c r="I231">
        <f t="shared" si="14"/>
        <v>3.3839999999999999</v>
      </c>
      <c r="J231">
        <f t="shared" si="15"/>
        <v>97.28</v>
      </c>
    </row>
    <row r="232" spans="1:10" x14ac:dyDescent="0.25">
      <c r="A232" t="s">
        <v>76</v>
      </c>
      <c r="B232" t="s">
        <v>361</v>
      </c>
      <c r="C232">
        <v>3.3780000000000001</v>
      </c>
      <c r="D232">
        <v>1E-3</v>
      </c>
      <c r="E232">
        <v>1</v>
      </c>
      <c r="F232">
        <v>9.7280000000000005E-2</v>
      </c>
      <c r="G232">
        <f t="shared" si="16"/>
        <v>328.61184000000003</v>
      </c>
      <c r="H232">
        <f t="shared" si="13"/>
        <v>97.28</v>
      </c>
      <c r="I232">
        <f t="shared" si="14"/>
        <v>3.3780000000000001</v>
      </c>
      <c r="J232">
        <f t="shared" si="15"/>
        <v>97.28</v>
      </c>
    </row>
    <row r="233" spans="1:10" x14ac:dyDescent="0.25">
      <c r="A233" t="s">
        <v>76</v>
      </c>
      <c r="B233" t="s">
        <v>362</v>
      </c>
      <c r="C233">
        <v>3.4220000000000002</v>
      </c>
      <c r="D233">
        <v>1E-3</v>
      </c>
      <c r="E233">
        <v>1</v>
      </c>
      <c r="F233">
        <v>9.7280000000000005E-2</v>
      </c>
      <c r="G233">
        <f t="shared" si="16"/>
        <v>332.89216000000005</v>
      </c>
      <c r="H233">
        <f t="shared" si="13"/>
        <v>97.28</v>
      </c>
      <c r="I233">
        <f t="shared" si="14"/>
        <v>3.4220000000000006</v>
      </c>
      <c r="J233">
        <f t="shared" si="15"/>
        <v>97.28</v>
      </c>
    </row>
    <row r="234" spans="1:10" x14ac:dyDescent="0.25">
      <c r="A234" t="s">
        <v>76</v>
      </c>
      <c r="B234" t="s">
        <v>363</v>
      </c>
      <c r="C234">
        <v>3.5649999999999999</v>
      </c>
      <c r="D234">
        <v>1E-3</v>
      </c>
      <c r="E234">
        <v>1</v>
      </c>
      <c r="F234">
        <v>9.7280000000000005E-2</v>
      </c>
      <c r="G234">
        <f t="shared" si="16"/>
        <v>346.8032</v>
      </c>
      <c r="H234">
        <f t="shared" si="13"/>
        <v>97.28</v>
      </c>
      <c r="I234">
        <f t="shared" si="14"/>
        <v>3.5649999999999999</v>
      </c>
      <c r="J234">
        <f t="shared" si="15"/>
        <v>97.28</v>
      </c>
    </row>
    <row r="235" spans="1:10" x14ac:dyDescent="0.25">
      <c r="A235" t="s">
        <v>76</v>
      </c>
      <c r="B235" t="s">
        <v>364</v>
      </c>
      <c r="C235">
        <v>3.6840000000000002</v>
      </c>
      <c r="D235">
        <v>1E-3</v>
      </c>
      <c r="E235">
        <v>1</v>
      </c>
      <c r="F235">
        <v>9.7280000000000005E-2</v>
      </c>
      <c r="G235">
        <f t="shared" si="16"/>
        <v>358.37952000000001</v>
      </c>
      <c r="H235">
        <f t="shared" si="13"/>
        <v>97.28</v>
      </c>
      <c r="I235">
        <f t="shared" si="14"/>
        <v>3.6840000000000002</v>
      </c>
      <c r="J235">
        <f t="shared" si="15"/>
        <v>97.28</v>
      </c>
    </row>
    <row r="236" spans="1:10" x14ac:dyDescent="0.25">
      <c r="A236" t="s">
        <v>76</v>
      </c>
      <c r="B236" t="s">
        <v>365</v>
      </c>
      <c r="C236">
        <v>3.6960000000000002</v>
      </c>
      <c r="D236">
        <v>1E-3</v>
      </c>
      <c r="E236">
        <v>1</v>
      </c>
      <c r="F236">
        <v>9.7280000000000005E-2</v>
      </c>
      <c r="G236">
        <f t="shared" si="16"/>
        <v>359.54688000000004</v>
      </c>
      <c r="H236">
        <f t="shared" si="13"/>
        <v>97.28</v>
      </c>
      <c r="I236">
        <f t="shared" si="14"/>
        <v>3.6960000000000006</v>
      </c>
      <c r="J236">
        <f t="shared" si="15"/>
        <v>97.28</v>
      </c>
    </row>
    <row r="237" spans="1:10" x14ac:dyDescent="0.25">
      <c r="A237" t="s">
        <v>77</v>
      </c>
      <c r="B237" t="s">
        <v>366</v>
      </c>
      <c r="C237">
        <v>8431</v>
      </c>
      <c r="D237">
        <v>1</v>
      </c>
      <c r="E237">
        <v>1</v>
      </c>
      <c r="F237">
        <v>1</v>
      </c>
      <c r="G237">
        <f t="shared" si="16"/>
        <v>8431</v>
      </c>
      <c r="H237">
        <f t="shared" si="13"/>
        <v>1</v>
      </c>
      <c r="I237">
        <f t="shared" si="14"/>
        <v>8431</v>
      </c>
      <c r="J237">
        <f t="shared" si="15"/>
        <v>1</v>
      </c>
    </row>
    <row r="238" spans="1:10" x14ac:dyDescent="0.25">
      <c r="A238" t="s">
        <v>77</v>
      </c>
      <c r="B238" t="s">
        <v>367</v>
      </c>
      <c r="C238">
        <v>8589</v>
      </c>
      <c r="D238">
        <v>1</v>
      </c>
      <c r="E238">
        <v>1</v>
      </c>
      <c r="F238">
        <v>1</v>
      </c>
      <c r="G238">
        <f t="shared" si="16"/>
        <v>8589</v>
      </c>
      <c r="H238">
        <f t="shared" si="13"/>
        <v>1</v>
      </c>
      <c r="I238">
        <f t="shared" si="14"/>
        <v>8589</v>
      </c>
      <c r="J238">
        <f t="shared" si="15"/>
        <v>1</v>
      </c>
    </row>
    <row r="239" spans="1:10" x14ac:dyDescent="0.25">
      <c r="A239" t="s">
        <v>78</v>
      </c>
      <c r="B239" t="s">
        <v>368</v>
      </c>
      <c r="C239">
        <v>1017.48</v>
      </c>
      <c r="D239">
        <v>0.01</v>
      </c>
      <c r="E239">
        <v>1</v>
      </c>
      <c r="F239">
        <v>0.97275999999999996</v>
      </c>
      <c r="G239">
        <f t="shared" si="16"/>
        <v>98976.384479999993</v>
      </c>
      <c r="H239">
        <f t="shared" si="13"/>
        <v>97.275999999999996</v>
      </c>
      <c r="I239">
        <f t="shared" si="14"/>
        <v>1017.48</v>
      </c>
      <c r="J239">
        <f t="shared" si="15"/>
        <v>97.275999999999996</v>
      </c>
    </row>
    <row r="240" spans="1:10" x14ac:dyDescent="0.25">
      <c r="A240" t="s">
        <v>78</v>
      </c>
      <c r="B240" t="s">
        <v>369</v>
      </c>
      <c r="C240">
        <v>1060.01</v>
      </c>
      <c r="D240">
        <v>0.01</v>
      </c>
      <c r="E240">
        <v>1</v>
      </c>
      <c r="F240">
        <v>0.97275999999999996</v>
      </c>
      <c r="G240">
        <f t="shared" si="16"/>
        <v>103113.53276</v>
      </c>
      <c r="H240">
        <f t="shared" si="13"/>
        <v>97.275999999999996</v>
      </c>
      <c r="I240">
        <f t="shared" si="14"/>
        <v>1060.01</v>
      </c>
      <c r="J240">
        <f t="shared" si="15"/>
        <v>97.275999999999996</v>
      </c>
    </row>
    <row r="241" spans="1:10" x14ac:dyDescent="0.25">
      <c r="A241" t="s">
        <v>78</v>
      </c>
      <c r="B241" t="s">
        <v>370</v>
      </c>
      <c r="C241">
        <v>1089.77</v>
      </c>
      <c r="D241">
        <v>0.01</v>
      </c>
      <c r="E241">
        <v>1</v>
      </c>
      <c r="F241">
        <v>0.97275999999999996</v>
      </c>
      <c r="G241">
        <f t="shared" si="16"/>
        <v>106008.46651999999</v>
      </c>
      <c r="H241">
        <f t="shared" si="13"/>
        <v>97.275999999999996</v>
      </c>
      <c r="I241">
        <f t="shared" si="14"/>
        <v>1089.77</v>
      </c>
      <c r="J241">
        <f t="shared" si="15"/>
        <v>97.275999999999996</v>
      </c>
    </row>
    <row r="242" spans="1:10" x14ac:dyDescent="0.25">
      <c r="A242" t="s">
        <v>79</v>
      </c>
      <c r="B242" t="s">
        <v>371</v>
      </c>
      <c r="C242">
        <v>7321</v>
      </c>
      <c r="D242">
        <v>1</v>
      </c>
      <c r="E242">
        <v>1</v>
      </c>
      <c r="F242">
        <v>1</v>
      </c>
      <c r="G242">
        <f t="shared" si="16"/>
        <v>7321</v>
      </c>
      <c r="H242">
        <f t="shared" si="13"/>
        <v>1</v>
      </c>
      <c r="I242">
        <f t="shared" si="14"/>
        <v>7321</v>
      </c>
      <c r="J242">
        <f t="shared" si="15"/>
        <v>1</v>
      </c>
    </row>
    <row r="243" spans="1:10" x14ac:dyDescent="0.25">
      <c r="A243" t="s">
        <v>79</v>
      </c>
      <c r="B243" t="s">
        <v>372</v>
      </c>
      <c r="C243">
        <v>7513</v>
      </c>
      <c r="D243">
        <v>1</v>
      </c>
      <c r="E243">
        <v>1</v>
      </c>
      <c r="F243">
        <v>1</v>
      </c>
      <c r="G243">
        <f t="shared" si="16"/>
        <v>7513</v>
      </c>
      <c r="H243">
        <f t="shared" si="13"/>
        <v>1</v>
      </c>
      <c r="I243">
        <f t="shared" si="14"/>
        <v>7513</v>
      </c>
      <c r="J243">
        <f t="shared" si="15"/>
        <v>1</v>
      </c>
    </row>
    <row r="244" spans="1:10" x14ac:dyDescent="0.25">
      <c r="A244" t="s">
        <v>80</v>
      </c>
      <c r="B244" t="s">
        <v>373</v>
      </c>
      <c r="C244">
        <v>6982</v>
      </c>
      <c r="D244">
        <v>1</v>
      </c>
      <c r="E244">
        <v>10</v>
      </c>
      <c r="F244">
        <v>1</v>
      </c>
      <c r="G244">
        <f t="shared" si="16"/>
        <v>6982</v>
      </c>
      <c r="H244">
        <f t="shared" si="13"/>
        <v>1</v>
      </c>
      <c r="I244">
        <f t="shared" si="14"/>
        <v>6982</v>
      </c>
      <c r="J244">
        <f t="shared" si="15"/>
        <v>1</v>
      </c>
    </row>
    <row r="245" spans="1:10" x14ac:dyDescent="0.25">
      <c r="A245" t="s">
        <v>80</v>
      </c>
      <c r="B245" t="s">
        <v>374</v>
      </c>
      <c r="C245">
        <v>7306</v>
      </c>
      <c r="D245">
        <v>1</v>
      </c>
      <c r="E245">
        <v>10</v>
      </c>
      <c r="F245">
        <v>1</v>
      </c>
      <c r="G245">
        <f t="shared" si="16"/>
        <v>7306</v>
      </c>
      <c r="H245">
        <f t="shared" si="13"/>
        <v>1</v>
      </c>
      <c r="I245">
        <f t="shared" si="14"/>
        <v>7306</v>
      </c>
      <c r="J245">
        <f t="shared" si="15"/>
        <v>1</v>
      </c>
    </row>
    <row r="246" spans="1:10" x14ac:dyDescent="0.25">
      <c r="A246" t="s">
        <v>81</v>
      </c>
      <c r="B246" t="s">
        <v>375</v>
      </c>
      <c r="C246">
        <v>1627</v>
      </c>
      <c r="D246">
        <v>1</v>
      </c>
      <c r="E246">
        <v>1</v>
      </c>
      <c r="F246">
        <v>1</v>
      </c>
      <c r="G246">
        <f t="shared" si="16"/>
        <v>1627</v>
      </c>
      <c r="H246">
        <f t="shared" si="13"/>
        <v>1</v>
      </c>
      <c r="I246">
        <f t="shared" si="14"/>
        <v>1627</v>
      </c>
      <c r="J246">
        <f t="shared" si="15"/>
        <v>1</v>
      </c>
    </row>
    <row r="247" spans="1:10" x14ac:dyDescent="0.25">
      <c r="A247" t="s">
        <v>81</v>
      </c>
      <c r="B247" t="s">
        <v>376</v>
      </c>
      <c r="C247">
        <v>1728</v>
      </c>
      <c r="D247">
        <v>1</v>
      </c>
      <c r="E247">
        <v>1</v>
      </c>
      <c r="F247">
        <v>1</v>
      </c>
      <c r="G247">
        <f t="shared" si="16"/>
        <v>1728</v>
      </c>
      <c r="H247">
        <f t="shared" si="13"/>
        <v>1</v>
      </c>
      <c r="I247">
        <f t="shared" si="14"/>
        <v>1728</v>
      </c>
      <c r="J247">
        <f t="shared" si="15"/>
        <v>1</v>
      </c>
    </row>
    <row r="248" spans="1:10" x14ac:dyDescent="0.25">
      <c r="A248" t="s">
        <v>82</v>
      </c>
      <c r="B248" t="s">
        <v>377</v>
      </c>
      <c r="C248">
        <v>1027.8</v>
      </c>
      <c r="D248">
        <v>0.1</v>
      </c>
      <c r="E248">
        <v>1</v>
      </c>
      <c r="F248">
        <v>9.7276199999999999</v>
      </c>
      <c r="G248">
        <f t="shared" si="16"/>
        <v>99980.478359999979</v>
      </c>
      <c r="H248">
        <f t="shared" si="13"/>
        <v>97.276199999999989</v>
      </c>
      <c r="I248">
        <f t="shared" si="14"/>
        <v>1027.8</v>
      </c>
      <c r="J248">
        <f t="shared" si="15"/>
        <v>97.276199999999989</v>
      </c>
    </row>
    <row r="249" spans="1:10" x14ac:dyDescent="0.25">
      <c r="A249" t="s">
        <v>82</v>
      </c>
      <c r="B249" t="s">
        <v>378</v>
      </c>
      <c r="C249">
        <v>1050.2</v>
      </c>
      <c r="D249">
        <v>0.1</v>
      </c>
      <c r="E249">
        <v>1</v>
      </c>
      <c r="F249">
        <v>9.7276199999999999</v>
      </c>
      <c r="G249">
        <f t="shared" si="16"/>
        <v>102159.46523999999</v>
      </c>
      <c r="H249">
        <f t="shared" si="13"/>
        <v>97.276199999999989</v>
      </c>
      <c r="I249">
        <f t="shared" si="14"/>
        <v>1050.2</v>
      </c>
      <c r="J249">
        <f t="shared" si="15"/>
        <v>97.276199999999989</v>
      </c>
    </row>
    <row r="250" spans="1:10" x14ac:dyDescent="0.25">
      <c r="A250" t="s">
        <v>82</v>
      </c>
      <c r="B250" t="s">
        <v>379</v>
      </c>
      <c r="C250">
        <v>1087.3</v>
      </c>
      <c r="D250">
        <v>0.1</v>
      </c>
      <c r="E250">
        <v>1</v>
      </c>
      <c r="F250">
        <v>9.7276199999999999</v>
      </c>
      <c r="G250">
        <f t="shared" si="16"/>
        <v>105768.41225999998</v>
      </c>
      <c r="H250">
        <f t="shared" si="13"/>
        <v>97.276199999999989</v>
      </c>
      <c r="I250">
        <f t="shared" si="14"/>
        <v>1087.3</v>
      </c>
      <c r="J250">
        <f t="shared" si="15"/>
        <v>97.276199999999989</v>
      </c>
    </row>
    <row r="251" spans="1:10" x14ac:dyDescent="0.25">
      <c r="A251" t="s">
        <v>83</v>
      </c>
      <c r="B251" t="s">
        <v>380</v>
      </c>
      <c r="C251">
        <v>182021</v>
      </c>
      <c r="D251">
        <v>1</v>
      </c>
      <c r="E251">
        <v>10</v>
      </c>
      <c r="F251">
        <v>1</v>
      </c>
      <c r="G251">
        <f t="shared" si="16"/>
        <v>182021</v>
      </c>
      <c r="H251">
        <f t="shared" si="13"/>
        <v>1</v>
      </c>
      <c r="I251">
        <f t="shared" si="14"/>
        <v>182021</v>
      </c>
      <c r="J251">
        <f t="shared" si="15"/>
        <v>1</v>
      </c>
    </row>
    <row r="252" spans="1:10" x14ac:dyDescent="0.25">
      <c r="A252" t="s">
        <v>83</v>
      </c>
      <c r="B252" t="s">
        <v>381</v>
      </c>
      <c r="C252">
        <v>181231</v>
      </c>
      <c r="D252">
        <v>1</v>
      </c>
      <c r="E252">
        <v>10</v>
      </c>
      <c r="F252">
        <v>1</v>
      </c>
      <c r="G252">
        <f t="shared" si="16"/>
        <v>181231</v>
      </c>
      <c r="H252">
        <f t="shared" si="13"/>
        <v>1</v>
      </c>
      <c r="I252">
        <f t="shared" si="14"/>
        <v>181231</v>
      </c>
      <c r="J252">
        <f t="shared" si="15"/>
        <v>1</v>
      </c>
    </row>
    <row r="253" spans="1:10" x14ac:dyDescent="0.25">
      <c r="A253" t="s">
        <v>84</v>
      </c>
      <c r="B253" t="s">
        <v>382</v>
      </c>
      <c r="C253">
        <v>228.4</v>
      </c>
      <c r="D253">
        <v>0.1</v>
      </c>
      <c r="E253">
        <v>1</v>
      </c>
      <c r="F253">
        <v>9.7276199999999999</v>
      </c>
      <c r="G253">
        <f t="shared" si="16"/>
        <v>22217.884079999996</v>
      </c>
      <c r="H253">
        <f t="shared" si="13"/>
        <v>97.276199999999989</v>
      </c>
      <c r="I253">
        <f t="shared" si="14"/>
        <v>228.39999999999998</v>
      </c>
      <c r="J253">
        <f t="shared" si="15"/>
        <v>97.276199999999989</v>
      </c>
    </row>
    <row r="254" spans="1:10" x14ac:dyDescent="0.25">
      <c r="A254" t="s">
        <v>84</v>
      </c>
      <c r="B254" t="s">
        <v>383</v>
      </c>
      <c r="C254">
        <v>228.1</v>
      </c>
      <c r="D254">
        <v>0.1</v>
      </c>
      <c r="E254">
        <v>1</v>
      </c>
      <c r="F254">
        <v>9.7276199999999999</v>
      </c>
      <c r="G254">
        <f t="shared" si="16"/>
        <v>22188.701219999995</v>
      </c>
      <c r="H254">
        <f t="shared" si="13"/>
        <v>97.276199999999989</v>
      </c>
      <c r="I254">
        <f t="shared" si="14"/>
        <v>228.09999999999997</v>
      </c>
      <c r="J254">
        <f t="shared" si="15"/>
        <v>97.276199999999989</v>
      </c>
    </row>
    <row r="255" spans="1:10" x14ac:dyDescent="0.25">
      <c r="A255" t="s">
        <v>84</v>
      </c>
      <c r="B255" t="s">
        <v>384</v>
      </c>
      <c r="C255">
        <v>233.9</v>
      </c>
      <c r="D255">
        <v>0.1</v>
      </c>
      <c r="E255">
        <v>1</v>
      </c>
      <c r="F255">
        <v>9.7276199999999999</v>
      </c>
      <c r="G255">
        <f t="shared" si="16"/>
        <v>22752.903179999998</v>
      </c>
      <c r="H255">
        <f t="shared" si="13"/>
        <v>97.276199999999989</v>
      </c>
      <c r="I255">
        <f t="shared" si="14"/>
        <v>233.9</v>
      </c>
      <c r="J255">
        <f t="shared" si="15"/>
        <v>97.276199999999989</v>
      </c>
    </row>
    <row r="256" spans="1:10" x14ac:dyDescent="0.25">
      <c r="A256" t="s">
        <v>84</v>
      </c>
      <c r="B256" t="s">
        <v>385</v>
      </c>
      <c r="C256">
        <v>243.5</v>
      </c>
      <c r="D256">
        <v>0.1</v>
      </c>
      <c r="E256">
        <v>1</v>
      </c>
      <c r="F256">
        <v>9.7276199999999999</v>
      </c>
      <c r="G256">
        <f t="shared" si="16"/>
        <v>23686.754699999998</v>
      </c>
      <c r="H256">
        <f t="shared" si="13"/>
        <v>97.276199999999989</v>
      </c>
      <c r="I256">
        <f t="shared" si="14"/>
        <v>243.5</v>
      </c>
      <c r="J256">
        <f t="shared" si="15"/>
        <v>97.276199999999989</v>
      </c>
    </row>
    <row r="257" spans="1:16" x14ac:dyDescent="0.25">
      <c r="A257" t="s">
        <v>85</v>
      </c>
      <c r="B257" t="s">
        <v>386</v>
      </c>
      <c r="C257">
        <v>2799</v>
      </c>
      <c r="D257">
        <v>1</v>
      </c>
      <c r="E257">
        <v>10</v>
      </c>
      <c r="F257">
        <v>1</v>
      </c>
      <c r="G257">
        <f t="shared" si="16"/>
        <v>2799</v>
      </c>
      <c r="H257">
        <f t="shared" si="13"/>
        <v>1</v>
      </c>
      <c r="I257">
        <f t="shared" si="14"/>
        <v>2799</v>
      </c>
      <c r="J257">
        <f t="shared" si="15"/>
        <v>1</v>
      </c>
    </row>
    <row r="258" spans="1:16" x14ac:dyDescent="0.25">
      <c r="A258" t="s">
        <v>85</v>
      </c>
      <c r="B258" t="s">
        <v>387</v>
      </c>
      <c r="C258">
        <v>2942</v>
      </c>
      <c r="D258">
        <v>1</v>
      </c>
      <c r="E258">
        <v>10</v>
      </c>
      <c r="F258">
        <v>1</v>
      </c>
      <c r="G258">
        <f t="shared" si="16"/>
        <v>2942</v>
      </c>
      <c r="H258">
        <f t="shared" si="13"/>
        <v>1</v>
      </c>
      <c r="I258">
        <f t="shared" si="14"/>
        <v>2942</v>
      </c>
      <c r="J258">
        <f t="shared" si="15"/>
        <v>1</v>
      </c>
    </row>
    <row r="259" spans="1:16" x14ac:dyDescent="0.25">
      <c r="A259" t="s">
        <v>86</v>
      </c>
      <c r="B259" t="s">
        <v>388</v>
      </c>
      <c r="C259">
        <v>10437</v>
      </c>
      <c r="D259">
        <v>1</v>
      </c>
      <c r="E259">
        <v>1</v>
      </c>
      <c r="F259">
        <v>1</v>
      </c>
      <c r="G259">
        <f t="shared" si="16"/>
        <v>10437</v>
      </c>
      <c r="H259">
        <f t="shared" ref="H259:H322" si="17">F259/D259</f>
        <v>1</v>
      </c>
      <c r="I259">
        <f t="shared" ref="I259:I322" si="18">G259/H259</f>
        <v>10437</v>
      </c>
      <c r="J259">
        <f t="shared" ref="J259:J322" si="19">F259/D259</f>
        <v>1</v>
      </c>
    </row>
    <row r="260" spans="1:16" x14ac:dyDescent="0.25">
      <c r="A260" t="s">
        <v>86</v>
      </c>
      <c r="B260" t="s">
        <v>389</v>
      </c>
      <c r="C260">
        <v>10690</v>
      </c>
      <c r="D260">
        <v>1</v>
      </c>
      <c r="E260">
        <v>1</v>
      </c>
      <c r="F260">
        <v>1</v>
      </c>
      <c r="G260">
        <f t="shared" si="16"/>
        <v>10690</v>
      </c>
      <c r="H260">
        <f t="shared" si="17"/>
        <v>1</v>
      </c>
      <c r="I260">
        <f t="shared" si="18"/>
        <v>10690</v>
      </c>
      <c r="J260">
        <f t="shared" si="19"/>
        <v>1</v>
      </c>
    </row>
    <row r="261" spans="1:16" x14ac:dyDescent="0.25">
      <c r="A261" t="s">
        <v>87</v>
      </c>
      <c r="B261" t="s">
        <v>390</v>
      </c>
      <c r="C261">
        <v>95850</v>
      </c>
      <c r="D261">
        <v>10</v>
      </c>
      <c r="E261">
        <v>1</v>
      </c>
      <c r="F261">
        <v>19.45524</v>
      </c>
      <c r="G261">
        <f t="shared" si="16"/>
        <v>186478.4754</v>
      </c>
      <c r="H261">
        <f t="shared" si="17"/>
        <v>1.945524</v>
      </c>
      <c r="I261">
        <f t="shared" si="18"/>
        <v>95850</v>
      </c>
      <c r="J261">
        <f t="shared" si="19"/>
        <v>1.945524</v>
      </c>
      <c r="K261">
        <f>C261*0.05</f>
        <v>4792.5</v>
      </c>
      <c r="L261">
        <f>K261*0.1</f>
        <v>479.25</v>
      </c>
      <c r="M261">
        <f>L261*97.72762</f>
        <v>46835.961885000004</v>
      </c>
      <c r="N261">
        <f>J261*100/2</f>
        <v>97.276200000000003</v>
      </c>
      <c r="O261">
        <f>100/2</f>
        <v>50</v>
      </c>
      <c r="P261">
        <f>K261*N261</f>
        <v>466196.18849999999</v>
      </c>
    </row>
    <row r="262" spans="1:16" x14ac:dyDescent="0.25">
      <c r="A262" t="s">
        <v>87</v>
      </c>
      <c r="B262" t="s">
        <v>391</v>
      </c>
      <c r="C262">
        <v>102700</v>
      </c>
      <c r="D262">
        <v>10</v>
      </c>
      <c r="E262">
        <v>1</v>
      </c>
      <c r="F262">
        <v>19.45524</v>
      </c>
      <c r="G262">
        <f t="shared" si="16"/>
        <v>199805.31479999999</v>
      </c>
      <c r="H262">
        <f t="shared" si="17"/>
        <v>1.945524</v>
      </c>
      <c r="I262">
        <f t="shared" si="18"/>
        <v>102700</v>
      </c>
      <c r="J262">
        <f t="shared" si="19"/>
        <v>1.945524</v>
      </c>
    </row>
    <row r="263" spans="1:16" x14ac:dyDescent="0.25">
      <c r="A263" t="s">
        <v>87</v>
      </c>
      <c r="B263" t="s">
        <v>392</v>
      </c>
      <c r="C263">
        <v>96570</v>
      </c>
      <c r="D263">
        <v>10</v>
      </c>
      <c r="E263">
        <v>1</v>
      </c>
      <c r="F263">
        <v>19.45524</v>
      </c>
      <c r="G263">
        <f t="shared" si="16"/>
        <v>187879.25268000001</v>
      </c>
      <c r="H263">
        <f t="shared" si="17"/>
        <v>1.945524</v>
      </c>
      <c r="I263">
        <f t="shared" si="18"/>
        <v>96570</v>
      </c>
      <c r="J263">
        <f t="shared" si="19"/>
        <v>1.945524</v>
      </c>
    </row>
    <row r="264" spans="1:16" x14ac:dyDescent="0.25">
      <c r="A264" t="s">
        <v>87</v>
      </c>
      <c r="B264" t="s">
        <v>393</v>
      </c>
      <c r="C264">
        <v>103650</v>
      </c>
      <c r="D264">
        <v>10</v>
      </c>
      <c r="E264">
        <v>1</v>
      </c>
      <c r="F264">
        <v>19.45524</v>
      </c>
      <c r="G264">
        <f t="shared" si="16"/>
        <v>201653.5626</v>
      </c>
      <c r="H264">
        <f t="shared" si="17"/>
        <v>1.945524</v>
      </c>
      <c r="I264">
        <f t="shared" si="18"/>
        <v>103650</v>
      </c>
      <c r="J264">
        <f t="shared" si="19"/>
        <v>1.945524</v>
      </c>
    </row>
    <row r="265" spans="1:16" x14ac:dyDescent="0.25">
      <c r="A265" t="s">
        <v>87</v>
      </c>
      <c r="B265" t="s">
        <v>394</v>
      </c>
      <c r="C265">
        <v>97720</v>
      </c>
      <c r="D265">
        <v>10</v>
      </c>
      <c r="E265">
        <v>1</v>
      </c>
      <c r="F265">
        <v>19.45524</v>
      </c>
      <c r="G265">
        <f t="shared" si="16"/>
        <v>190116.60527999999</v>
      </c>
      <c r="H265">
        <f t="shared" si="17"/>
        <v>1.945524</v>
      </c>
      <c r="I265">
        <f t="shared" si="18"/>
        <v>97719.999999999985</v>
      </c>
      <c r="J265">
        <f t="shared" si="19"/>
        <v>1.945524</v>
      </c>
    </row>
    <row r="266" spans="1:16" x14ac:dyDescent="0.25">
      <c r="A266" t="s">
        <v>87</v>
      </c>
      <c r="B266" t="s">
        <v>395</v>
      </c>
      <c r="C266">
        <v>105420</v>
      </c>
      <c r="D266">
        <v>10</v>
      </c>
      <c r="E266">
        <v>1</v>
      </c>
      <c r="F266">
        <v>19.45524</v>
      </c>
      <c r="G266">
        <f t="shared" si="16"/>
        <v>205097.14008000001</v>
      </c>
      <c r="H266">
        <f t="shared" si="17"/>
        <v>1.945524</v>
      </c>
      <c r="I266">
        <f t="shared" si="18"/>
        <v>105420</v>
      </c>
      <c r="J266">
        <f t="shared" si="19"/>
        <v>1.945524</v>
      </c>
    </row>
    <row r="267" spans="1:16" x14ac:dyDescent="0.25">
      <c r="A267" t="s">
        <v>87</v>
      </c>
      <c r="B267" t="s">
        <v>396</v>
      </c>
      <c r="C267">
        <v>99720</v>
      </c>
      <c r="D267">
        <v>10</v>
      </c>
      <c r="E267">
        <v>1</v>
      </c>
      <c r="F267">
        <v>19.45524</v>
      </c>
      <c r="G267">
        <f t="shared" si="16"/>
        <v>194007.65328</v>
      </c>
      <c r="H267">
        <f t="shared" si="17"/>
        <v>1.945524</v>
      </c>
      <c r="I267">
        <f t="shared" si="18"/>
        <v>99720</v>
      </c>
      <c r="J267">
        <f t="shared" si="19"/>
        <v>1.945524</v>
      </c>
    </row>
    <row r="268" spans="1:16" x14ac:dyDescent="0.25">
      <c r="A268" t="s">
        <v>87</v>
      </c>
      <c r="B268" t="s">
        <v>397</v>
      </c>
      <c r="C268">
        <v>106560</v>
      </c>
      <c r="D268">
        <v>10</v>
      </c>
      <c r="E268">
        <v>1</v>
      </c>
      <c r="F268">
        <v>19.45524</v>
      </c>
      <c r="G268">
        <f t="shared" si="16"/>
        <v>207315.03744000001</v>
      </c>
      <c r="H268">
        <f t="shared" si="17"/>
        <v>1.945524</v>
      </c>
      <c r="I268">
        <f t="shared" si="18"/>
        <v>106560</v>
      </c>
      <c r="J268">
        <f t="shared" si="19"/>
        <v>1.945524</v>
      </c>
    </row>
    <row r="269" spans="1:16" x14ac:dyDescent="0.25">
      <c r="A269" t="s">
        <v>88</v>
      </c>
      <c r="B269" t="s">
        <v>398</v>
      </c>
      <c r="C269">
        <v>3553</v>
      </c>
      <c r="D269">
        <v>1</v>
      </c>
      <c r="E269">
        <v>100</v>
      </c>
      <c r="F269">
        <v>1</v>
      </c>
      <c r="G269">
        <f t="shared" ref="G269:G332" si="20">(F269/D269)*C269</f>
        <v>3553</v>
      </c>
      <c r="H269">
        <f t="shared" si="17"/>
        <v>1</v>
      </c>
      <c r="I269">
        <f t="shared" si="18"/>
        <v>3553</v>
      </c>
      <c r="J269">
        <f t="shared" si="19"/>
        <v>1</v>
      </c>
    </row>
    <row r="270" spans="1:16" x14ac:dyDescent="0.25">
      <c r="A270" t="s">
        <v>88</v>
      </c>
      <c r="B270" t="s">
        <v>399</v>
      </c>
      <c r="C270">
        <v>3742</v>
      </c>
      <c r="D270">
        <v>1</v>
      </c>
      <c r="E270">
        <v>100</v>
      </c>
      <c r="F270">
        <v>1</v>
      </c>
      <c r="G270">
        <f t="shared" si="20"/>
        <v>3742</v>
      </c>
      <c r="H270">
        <f t="shared" si="17"/>
        <v>1</v>
      </c>
      <c r="I270">
        <f t="shared" si="18"/>
        <v>3742</v>
      </c>
      <c r="J270">
        <f t="shared" si="19"/>
        <v>1</v>
      </c>
    </row>
    <row r="271" spans="1:16" x14ac:dyDescent="0.25">
      <c r="A271" t="s">
        <v>89</v>
      </c>
      <c r="B271" t="s">
        <v>400</v>
      </c>
      <c r="C271">
        <v>958.5</v>
      </c>
      <c r="D271">
        <v>0.5</v>
      </c>
      <c r="E271">
        <v>1</v>
      </c>
      <c r="F271">
        <v>9.7276199999999999</v>
      </c>
      <c r="G271">
        <f t="shared" si="20"/>
        <v>18647.847539999999</v>
      </c>
      <c r="H271">
        <f t="shared" si="17"/>
        <v>19.45524</v>
      </c>
      <c r="I271">
        <f t="shared" si="18"/>
        <v>958.5</v>
      </c>
      <c r="J271">
        <f t="shared" si="19"/>
        <v>19.45524</v>
      </c>
      <c r="K271">
        <f>J271*5</f>
        <v>97.276200000000003</v>
      </c>
    </row>
    <row r="272" spans="1:16" x14ac:dyDescent="0.25">
      <c r="A272" t="s">
        <v>89</v>
      </c>
      <c r="B272" t="s">
        <v>401</v>
      </c>
      <c r="C272">
        <v>965</v>
      </c>
      <c r="D272">
        <v>0.5</v>
      </c>
      <c r="E272">
        <v>1</v>
      </c>
      <c r="F272">
        <v>9.7276199999999999</v>
      </c>
      <c r="G272">
        <f t="shared" si="20"/>
        <v>18774.3066</v>
      </c>
      <c r="H272">
        <f t="shared" si="17"/>
        <v>19.45524</v>
      </c>
      <c r="I272">
        <f t="shared" si="18"/>
        <v>965</v>
      </c>
      <c r="J272">
        <f t="shared" si="19"/>
        <v>19.45524</v>
      </c>
    </row>
    <row r="273" spans="1:10" x14ac:dyDescent="0.25">
      <c r="A273" t="s">
        <v>89</v>
      </c>
      <c r="B273" t="s">
        <v>402</v>
      </c>
      <c r="C273">
        <v>991</v>
      </c>
      <c r="D273">
        <v>0.5</v>
      </c>
      <c r="E273">
        <v>1</v>
      </c>
      <c r="F273">
        <v>9.7276199999999999</v>
      </c>
      <c r="G273">
        <f t="shared" si="20"/>
        <v>19280.14284</v>
      </c>
      <c r="H273">
        <f t="shared" si="17"/>
        <v>19.45524</v>
      </c>
      <c r="I273">
        <f t="shared" si="18"/>
        <v>991</v>
      </c>
      <c r="J273">
        <f t="shared" si="19"/>
        <v>19.45524</v>
      </c>
    </row>
    <row r="274" spans="1:10" x14ac:dyDescent="0.25">
      <c r="A274" t="s">
        <v>89</v>
      </c>
      <c r="B274" t="s">
        <v>403</v>
      </c>
      <c r="C274">
        <v>1000</v>
      </c>
      <c r="D274">
        <v>0.5</v>
      </c>
      <c r="E274">
        <v>1</v>
      </c>
      <c r="F274">
        <v>9.7276199999999999</v>
      </c>
      <c r="G274">
        <f t="shared" si="20"/>
        <v>19455.240000000002</v>
      </c>
      <c r="H274">
        <f t="shared" si="17"/>
        <v>19.45524</v>
      </c>
      <c r="I274">
        <f t="shared" si="18"/>
        <v>1000.0000000000001</v>
      </c>
      <c r="J274">
        <f t="shared" si="19"/>
        <v>19.45524</v>
      </c>
    </row>
    <row r="275" spans="1:10" x14ac:dyDescent="0.25">
      <c r="A275" t="s">
        <v>90</v>
      </c>
      <c r="B275" t="s">
        <v>404</v>
      </c>
      <c r="C275">
        <v>54359</v>
      </c>
      <c r="D275">
        <v>1</v>
      </c>
      <c r="E275">
        <v>100</v>
      </c>
      <c r="F275">
        <v>1</v>
      </c>
      <c r="G275">
        <f t="shared" si="20"/>
        <v>54359</v>
      </c>
      <c r="H275">
        <f t="shared" si="17"/>
        <v>1</v>
      </c>
      <c r="I275">
        <f t="shared" si="18"/>
        <v>54359</v>
      </c>
      <c r="J275">
        <f t="shared" si="19"/>
        <v>1</v>
      </c>
    </row>
    <row r="276" spans="1:10" x14ac:dyDescent="0.25">
      <c r="A276" t="s">
        <v>90</v>
      </c>
      <c r="B276" t="s">
        <v>405</v>
      </c>
      <c r="C276">
        <v>64280</v>
      </c>
      <c r="D276">
        <v>1</v>
      </c>
      <c r="E276">
        <v>100</v>
      </c>
      <c r="F276">
        <v>1</v>
      </c>
      <c r="G276">
        <f t="shared" si="20"/>
        <v>64280</v>
      </c>
      <c r="H276">
        <f t="shared" si="17"/>
        <v>1</v>
      </c>
      <c r="I276">
        <f t="shared" si="18"/>
        <v>64280</v>
      </c>
      <c r="J276">
        <f t="shared" si="19"/>
        <v>1</v>
      </c>
    </row>
    <row r="277" spans="1:10" x14ac:dyDescent="0.25">
      <c r="A277" t="s">
        <v>90</v>
      </c>
      <c r="B277" t="s">
        <v>406</v>
      </c>
      <c r="C277">
        <v>57211</v>
      </c>
      <c r="D277">
        <v>1</v>
      </c>
      <c r="E277">
        <v>100</v>
      </c>
      <c r="F277">
        <v>1</v>
      </c>
      <c r="G277">
        <f t="shared" si="20"/>
        <v>57211</v>
      </c>
      <c r="H277">
        <f t="shared" si="17"/>
        <v>1</v>
      </c>
      <c r="I277">
        <f t="shared" si="18"/>
        <v>57211</v>
      </c>
      <c r="J277">
        <f t="shared" si="19"/>
        <v>1</v>
      </c>
    </row>
    <row r="278" spans="1:10" x14ac:dyDescent="0.25">
      <c r="A278" t="s">
        <v>90</v>
      </c>
      <c r="B278" t="s">
        <v>407</v>
      </c>
      <c r="C278">
        <v>67501</v>
      </c>
      <c r="D278">
        <v>1</v>
      </c>
      <c r="E278">
        <v>100</v>
      </c>
      <c r="F278">
        <v>1</v>
      </c>
      <c r="G278">
        <f t="shared" si="20"/>
        <v>67501</v>
      </c>
      <c r="H278">
        <f t="shared" si="17"/>
        <v>1</v>
      </c>
      <c r="I278">
        <f t="shared" si="18"/>
        <v>67501</v>
      </c>
      <c r="J278">
        <f t="shared" si="19"/>
        <v>1</v>
      </c>
    </row>
    <row r="279" spans="1:10" x14ac:dyDescent="0.25">
      <c r="A279" t="s">
        <v>90</v>
      </c>
      <c r="B279" t="s">
        <v>408</v>
      </c>
      <c r="C279">
        <v>57915</v>
      </c>
      <c r="D279">
        <v>1</v>
      </c>
      <c r="E279">
        <v>100</v>
      </c>
      <c r="F279">
        <v>1</v>
      </c>
      <c r="G279">
        <f t="shared" si="20"/>
        <v>57915</v>
      </c>
      <c r="H279">
        <f t="shared" si="17"/>
        <v>1</v>
      </c>
      <c r="I279">
        <f t="shared" si="18"/>
        <v>57915</v>
      </c>
      <c r="J279">
        <f t="shared" si="19"/>
        <v>1</v>
      </c>
    </row>
    <row r="280" spans="1:10" x14ac:dyDescent="0.25">
      <c r="A280" t="s">
        <v>90</v>
      </c>
      <c r="B280" t="s">
        <v>409</v>
      </c>
      <c r="C280">
        <v>61199</v>
      </c>
      <c r="D280">
        <v>1</v>
      </c>
      <c r="E280">
        <v>100</v>
      </c>
      <c r="F280">
        <v>1</v>
      </c>
      <c r="G280">
        <f t="shared" si="20"/>
        <v>61199</v>
      </c>
      <c r="H280">
        <f t="shared" si="17"/>
        <v>1</v>
      </c>
      <c r="I280">
        <f t="shared" si="18"/>
        <v>61199</v>
      </c>
      <c r="J280">
        <f t="shared" si="19"/>
        <v>1</v>
      </c>
    </row>
    <row r="281" spans="1:10" x14ac:dyDescent="0.25">
      <c r="A281" t="s">
        <v>91</v>
      </c>
      <c r="B281" t="s">
        <v>410</v>
      </c>
      <c r="C281">
        <v>87.23</v>
      </c>
      <c r="D281">
        <v>0.01</v>
      </c>
      <c r="E281">
        <v>1000000</v>
      </c>
      <c r="F281">
        <v>8.49315</v>
      </c>
      <c r="G281">
        <f t="shared" si="20"/>
        <v>74085.747449999995</v>
      </c>
      <c r="H281">
        <f t="shared" si="17"/>
        <v>849.31499999999994</v>
      </c>
      <c r="I281">
        <f t="shared" si="18"/>
        <v>87.23</v>
      </c>
      <c r="J281">
        <f t="shared" si="19"/>
        <v>849.31499999999994</v>
      </c>
    </row>
    <row r="282" spans="1:10" x14ac:dyDescent="0.25">
      <c r="A282" t="s">
        <v>91</v>
      </c>
      <c r="B282" t="s">
        <v>411</v>
      </c>
      <c r="C282">
        <v>87.23</v>
      </c>
      <c r="D282">
        <v>0.01</v>
      </c>
      <c r="E282">
        <v>1000000</v>
      </c>
      <c r="F282">
        <v>7.6712300000000004</v>
      </c>
      <c r="G282">
        <f t="shared" si="20"/>
        <v>66916.139290000006</v>
      </c>
      <c r="H282">
        <f t="shared" si="17"/>
        <v>767.12300000000005</v>
      </c>
      <c r="I282">
        <f t="shared" si="18"/>
        <v>87.23</v>
      </c>
      <c r="J282">
        <f t="shared" si="19"/>
        <v>767.12300000000005</v>
      </c>
    </row>
    <row r="283" spans="1:10" x14ac:dyDescent="0.25">
      <c r="A283" t="s">
        <v>91</v>
      </c>
      <c r="B283" t="s">
        <v>412</v>
      </c>
      <c r="C283">
        <v>87.23</v>
      </c>
      <c r="D283">
        <v>0.01</v>
      </c>
      <c r="E283">
        <v>1000000</v>
      </c>
      <c r="F283">
        <v>8.49315</v>
      </c>
      <c r="G283">
        <f t="shared" si="20"/>
        <v>74085.747449999995</v>
      </c>
      <c r="H283">
        <f t="shared" si="17"/>
        <v>849.31499999999994</v>
      </c>
      <c r="I283">
        <f t="shared" si="18"/>
        <v>87.23</v>
      </c>
      <c r="J283">
        <f t="shared" si="19"/>
        <v>849.31499999999994</v>
      </c>
    </row>
    <row r="284" spans="1:10" x14ac:dyDescent="0.25">
      <c r="A284" t="s">
        <v>91</v>
      </c>
      <c r="B284" t="s">
        <v>413</v>
      </c>
      <c r="C284">
        <v>87.23</v>
      </c>
      <c r="D284">
        <v>0.01</v>
      </c>
      <c r="E284">
        <v>1000000</v>
      </c>
      <c r="F284">
        <v>8.2191799999999997</v>
      </c>
      <c r="G284">
        <f t="shared" si="20"/>
        <v>71695.90714000001</v>
      </c>
      <c r="H284">
        <f t="shared" si="17"/>
        <v>821.91800000000001</v>
      </c>
      <c r="I284">
        <f t="shared" si="18"/>
        <v>87.230000000000018</v>
      </c>
      <c r="J284">
        <f t="shared" si="19"/>
        <v>821.91800000000001</v>
      </c>
    </row>
    <row r="285" spans="1:10" x14ac:dyDescent="0.25">
      <c r="A285" t="s">
        <v>91</v>
      </c>
      <c r="B285" t="s">
        <v>414</v>
      </c>
      <c r="C285">
        <v>87.23</v>
      </c>
      <c r="D285">
        <v>0.01</v>
      </c>
      <c r="E285">
        <v>1000000</v>
      </c>
      <c r="F285">
        <v>8.2191799999999997</v>
      </c>
      <c r="G285">
        <f t="shared" si="20"/>
        <v>71695.90714000001</v>
      </c>
      <c r="H285">
        <f t="shared" si="17"/>
        <v>821.91800000000001</v>
      </c>
      <c r="I285">
        <f t="shared" si="18"/>
        <v>87.230000000000018</v>
      </c>
      <c r="J285">
        <f t="shared" si="19"/>
        <v>821.91800000000001</v>
      </c>
    </row>
    <row r="286" spans="1:10" x14ac:dyDescent="0.25">
      <c r="A286" t="s">
        <v>91</v>
      </c>
      <c r="B286" t="s">
        <v>415</v>
      </c>
      <c r="C286">
        <v>87.23</v>
      </c>
      <c r="D286">
        <v>0.01</v>
      </c>
      <c r="E286">
        <v>1000000</v>
      </c>
      <c r="F286">
        <v>8.49315</v>
      </c>
      <c r="G286">
        <f t="shared" si="20"/>
        <v>74085.747449999995</v>
      </c>
      <c r="H286">
        <f t="shared" si="17"/>
        <v>849.31499999999994</v>
      </c>
      <c r="I286">
        <f t="shared" si="18"/>
        <v>87.23</v>
      </c>
      <c r="J286">
        <f t="shared" si="19"/>
        <v>849.31499999999994</v>
      </c>
    </row>
    <row r="287" spans="1:10" x14ac:dyDescent="0.25">
      <c r="A287" t="s">
        <v>91</v>
      </c>
      <c r="B287" t="s">
        <v>416</v>
      </c>
      <c r="C287">
        <v>87.23</v>
      </c>
      <c r="D287">
        <v>0.01</v>
      </c>
      <c r="E287">
        <v>1000000</v>
      </c>
      <c r="F287">
        <v>8.49315</v>
      </c>
      <c r="G287">
        <f t="shared" si="20"/>
        <v>74085.747449999995</v>
      </c>
      <c r="H287">
        <f t="shared" si="17"/>
        <v>849.31499999999994</v>
      </c>
      <c r="I287">
        <f t="shared" si="18"/>
        <v>87.23</v>
      </c>
      <c r="J287">
        <f t="shared" si="19"/>
        <v>849.31499999999994</v>
      </c>
    </row>
    <row r="288" spans="1:10" x14ac:dyDescent="0.25">
      <c r="A288" t="s">
        <v>91</v>
      </c>
      <c r="B288" t="s">
        <v>417</v>
      </c>
      <c r="C288">
        <v>87.23</v>
      </c>
      <c r="D288">
        <v>0.01</v>
      </c>
      <c r="E288">
        <v>1000000</v>
      </c>
      <c r="F288">
        <v>7.9452100000000003</v>
      </c>
      <c r="G288">
        <f t="shared" si="20"/>
        <v>69306.066830000011</v>
      </c>
      <c r="H288">
        <f t="shared" si="17"/>
        <v>794.52100000000007</v>
      </c>
      <c r="I288">
        <f t="shared" si="18"/>
        <v>87.23</v>
      </c>
      <c r="J288">
        <f t="shared" si="19"/>
        <v>794.52100000000007</v>
      </c>
    </row>
    <row r="289" spans="1:10" x14ac:dyDescent="0.25">
      <c r="A289" t="s">
        <v>91</v>
      </c>
      <c r="B289" t="s">
        <v>418</v>
      </c>
      <c r="C289">
        <v>87.23</v>
      </c>
      <c r="D289">
        <v>0.01</v>
      </c>
      <c r="E289">
        <v>1000000</v>
      </c>
      <c r="F289">
        <v>8.7671200000000002</v>
      </c>
      <c r="G289">
        <f t="shared" si="20"/>
        <v>76475.587760000009</v>
      </c>
      <c r="H289">
        <f t="shared" si="17"/>
        <v>876.71199999999999</v>
      </c>
      <c r="I289">
        <f t="shared" si="18"/>
        <v>87.230000000000018</v>
      </c>
      <c r="J289">
        <f t="shared" si="19"/>
        <v>876.71199999999999</v>
      </c>
    </row>
    <row r="290" spans="1:10" x14ac:dyDescent="0.25">
      <c r="A290" t="s">
        <v>91</v>
      </c>
      <c r="B290" t="s">
        <v>419</v>
      </c>
      <c r="C290">
        <v>87.23</v>
      </c>
      <c r="D290">
        <v>0.01</v>
      </c>
      <c r="E290">
        <v>1000000</v>
      </c>
      <c r="F290">
        <v>8.49315</v>
      </c>
      <c r="G290">
        <f t="shared" si="20"/>
        <v>74085.747449999995</v>
      </c>
      <c r="H290">
        <f t="shared" si="17"/>
        <v>849.31499999999994</v>
      </c>
      <c r="I290">
        <f t="shared" si="18"/>
        <v>87.23</v>
      </c>
      <c r="J290">
        <f t="shared" si="19"/>
        <v>849.31499999999994</v>
      </c>
    </row>
    <row r="291" spans="1:10" x14ac:dyDescent="0.25">
      <c r="A291" t="s">
        <v>91</v>
      </c>
      <c r="B291" t="s">
        <v>420</v>
      </c>
      <c r="C291">
        <v>87.23</v>
      </c>
      <c r="D291">
        <v>0.01</v>
      </c>
      <c r="E291">
        <v>1000000</v>
      </c>
      <c r="F291">
        <v>7.6712300000000004</v>
      </c>
      <c r="G291">
        <f t="shared" si="20"/>
        <v>66916.139290000006</v>
      </c>
      <c r="H291">
        <f t="shared" si="17"/>
        <v>767.12300000000005</v>
      </c>
      <c r="I291">
        <f t="shared" si="18"/>
        <v>87.23</v>
      </c>
      <c r="J291">
        <f t="shared" si="19"/>
        <v>767.12300000000005</v>
      </c>
    </row>
    <row r="292" spans="1:10" x14ac:dyDescent="0.25">
      <c r="A292" t="s">
        <v>91</v>
      </c>
      <c r="B292" t="s">
        <v>421</v>
      </c>
      <c r="C292">
        <v>87.23</v>
      </c>
      <c r="D292">
        <v>0.01</v>
      </c>
      <c r="E292">
        <v>1000000</v>
      </c>
      <c r="F292">
        <v>8.7671200000000002</v>
      </c>
      <c r="G292">
        <f t="shared" si="20"/>
        <v>76475.587760000009</v>
      </c>
      <c r="H292">
        <f t="shared" si="17"/>
        <v>876.71199999999999</v>
      </c>
      <c r="I292">
        <f t="shared" si="18"/>
        <v>87.230000000000018</v>
      </c>
      <c r="J292">
        <f t="shared" si="19"/>
        <v>876.71199999999999</v>
      </c>
    </row>
    <row r="293" spans="1:10" x14ac:dyDescent="0.25">
      <c r="A293" t="s">
        <v>92</v>
      </c>
      <c r="B293" t="s">
        <v>422</v>
      </c>
      <c r="C293">
        <v>6664</v>
      </c>
      <c r="D293">
        <v>1</v>
      </c>
      <c r="E293">
        <v>100</v>
      </c>
      <c r="F293">
        <v>1</v>
      </c>
      <c r="G293">
        <f t="shared" si="20"/>
        <v>6664</v>
      </c>
      <c r="H293">
        <f t="shared" si="17"/>
        <v>1</v>
      </c>
      <c r="I293">
        <f t="shared" si="18"/>
        <v>6664</v>
      </c>
      <c r="J293">
        <f t="shared" si="19"/>
        <v>1</v>
      </c>
    </row>
    <row r="294" spans="1:10" x14ac:dyDescent="0.25">
      <c r="A294" t="s">
        <v>92</v>
      </c>
      <c r="B294" t="s">
        <v>423</v>
      </c>
      <c r="C294">
        <v>7007</v>
      </c>
      <c r="D294">
        <v>1</v>
      </c>
      <c r="E294">
        <v>100</v>
      </c>
      <c r="F294">
        <v>1</v>
      </c>
      <c r="G294">
        <f t="shared" si="20"/>
        <v>7007</v>
      </c>
      <c r="H294">
        <f t="shared" si="17"/>
        <v>1</v>
      </c>
      <c r="I294">
        <f t="shared" si="18"/>
        <v>7007</v>
      </c>
      <c r="J294">
        <f t="shared" si="19"/>
        <v>1</v>
      </c>
    </row>
    <row r="295" spans="1:10" x14ac:dyDescent="0.25">
      <c r="A295" t="s">
        <v>93</v>
      </c>
      <c r="B295" t="s">
        <v>424</v>
      </c>
      <c r="C295">
        <v>1613</v>
      </c>
      <c r="D295">
        <v>1</v>
      </c>
      <c r="E295">
        <v>10</v>
      </c>
      <c r="F295">
        <v>1</v>
      </c>
      <c r="G295">
        <f t="shared" si="20"/>
        <v>1613</v>
      </c>
      <c r="H295">
        <f t="shared" si="17"/>
        <v>1</v>
      </c>
      <c r="I295">
        <f t="shared" si="18"/>
        <v>1613</v>
      </c>
      <c r="J295">
        <f t="shared" si="19"/>
        <v>1</v>
      </c>
    </row>
    <row r="296" spans="1:10" x14ac:dyDescent="0.25">
      <c r="A296" t="s">
        <v>93</v>
      </c>
      <c r="B296" t="s">
        <v>425</v>
      </c>
      <c r="C296">
        <v>1596</v>
      </c>
      <c r="D296">
        <v>1</v>
      </c>
      <c r="E296">
        <v>10</v>
      </c>
      <c r="F296">
        <v>1</v>
      </c>
      <c r="G296">
        <f t="shared" si="20"/>
        <v>1596</v>
      </c>
      <c r="H296">
        <f t="shared" si="17"/>
        <v>1</v>
      </c>
      <c r="I296">
        <f t="shared" si="18"/>
        <v>1596</v>
      </c>
      <c r="J296">
        <f t="shared" si="19"/>
        <v>1</v>
      </c>
    </row>
    <row r="297" spans="1:10" x14ac:dyDescent="0.25">
      <c r="A297" t="s">
        <v>94</v>
      </c>
      <c r="B297" t="s">
        <v>426</v>
      </c>
      <c r="C297">
        <v>1162</v>
      </c>
      <c r="D297">
        <v>1</v>
      </c>
      <c r="E297">
        <v>10</v>
      </c>
      <c r="F297">
        <v>1</v>
      </c>
      <c r="G297">
        <f t="shared" si="20"/>
        <v>1162</v>
      </c>
      <c r="H297">
        <f t="shared" si="17"/>
        <v>1</v>
      </c>
      <c r="I297">
        <f t="shared" si="18"/>
        <v>1162</v>
      </c>
      <c r="J297">
        <f t="shared" si="19"/>
        <v>1</v>
      </c>
    </row>
    <row r="298" spans="1:10" x14ac:dyDescent="0.25">
      <c r="A298" t="s">
        <v>94</v>
      </c>
      <c r="B298" t="s">
        <v>427</v>
      </c>
      <c r="C298">
        <v>1228</v>
      </c>
      <c r="D298">
        <v>1</v>
      </c>
      <c r="E298">
        <v>10</v>
      </c>
      <c r="F298">
        <v>1</v>
      </c>
      <c r="G298">
        <f t="shared" si="20"/>
        <v>1228</v>
      </c>
      <c r="H298">
        <f t="shared" si="17"/>
        <v>1</v>
      </c>
      <c r="I298">
        <f t="shared" si="18"/>
        <v>1228</v>
      </c>
      <c r="J298">
        <f t="shared" si="19"/>
        <v>1</v>
      </c>
    </row>
    <row r="299" spans="1:10" x14ac:dyDescent="0.25">
      <c r="A299" t="s">
        <v>95</v>
      </c>
      <c r="B299" t="s">
        <v>428</v>
      </c>
      <c r="C299">
        <v>43.04</v>
      </c>
      <c r="D299">
        <v>0.01</v>
      </c>
      <c r="E299">
        <v>1016</v>
      </c>
      <c r="F299">
        <v>10.16</v>
      </c>
      <c r="G299">
        <f t="shared" si="20"/>
        <v>43728.639999999999</v>
      </c>
      <c r="H299">
        <f t="shared" si="17"/>
        <v>1016</v>
      </c>
      <c r="I299">
        <f t="shared" si="18"/>
        <v>43.04</v>
      </c>
      <c r="J299">
        <f t="shared" si="19"/>
        <v>1016</v>
      </c>
    </row>
    <row r="300" spans="1:10" x14ac:dyDescent="0.25">
      <c r="A300" t="s">
        <v>95</v>
      </c>
      <c r="B300" t="s">
        <v>429</v>
      </c>
      <c r="C300">
        <v>41.26</v>
      </c>
      <c r="D300">
        <v>0.01</v>
      </c>
      <c r="E300">
        <v>1016</v>
      </c>
      <c r="F300">
        <v>10.16</v>
      </c>
      <c r="G300">
        <f t="shared" si="20"/>
        <v>41920.159999999996</v>
      </c>
      <c r="H300">
        <f t="shared" si="17"/>
        <v>1016</v>
      </c>
      <c r="I300">
        <f t="shared" si="18"/>
        <v>41.26</v>
      </c>
      <c r="J300">
        <f t="shared" si="19"/>
        <v>1016</v>
      </c>
    </row>
    <row r="301" spans="1:10" x14ac:dyDescent="0.25">
      <c r="A301" t="s">
        <v>96</v>
      </c>
      <c r="B301" t="s">
        <v>430</v>
      </c>
      <c r="C301">
        <v>286.3</v>
      </c>
      <c r="D301">
        <v>0.01</v>
      </c>
      <c r="E301">
        <v>100</v>
      </c>
      <c r="F301">
        <v>1</v>
      </c>
      <c r="G301">
        <f t="shared" si="20"/>
        <v>28630</v>
      </c>
      <c r="H301">
        <f t="shared" si="17"/>
        <v>100</v>
      </c>
      <c r="I301">
        <f t="shared" si="18"/>
        <v>286.3</v>
      </c>
      <c r="J301">
        <f t="shared" si="19"/>
        <v>100</v>
      </c>
    </row>
    <row r="302" spans="1:10" x14ac:dyDescent="0.25">
      <c r="A302" t="s">
        <v>97</v>
      </c>
      <c r="B302" t="s">
        <v>431</v>
      </c>
      <c r="C302">
        <v>1551</v>
      </c>
      <c r="D302">
        <v>1</v>
      </c>
      <c r="E302">
        <v>100</v>
      </c>
      <c r="F302">
        <v>1</v>
      </c>
      <c r="G302">
        <f t="shared" si="20"/>
        <v>1551</v>
      </c>
      <c r="H302">
        <f t="shared" si="17"/>
        <v>1</v>
      </c>
      <c r="I302">
        <f t="shared" si="18"/>
        <v>1551</v>
      </c>
      <c r="J302">
        <f t="shared" si="19"/>
        <v>1</v>
      </c>
    </row>
    <row r="303" spans="1:10" x14ac:dyDescent="0.25">
      <c r="A303" t="s">
        <v>97</v>
      </c>
      <c r="B303" t="s">
        <v>432</v>
      </c>
      <c r="C303">
        <v>1642</v>
      </c>
      <c r="D303">
        <v>1</v>
      </c>
      <c r="E303">
        <v>100</v>
      </c>
      <c r="F303">
        <v>1</v>
      </c>
      <c r="G303">
        <f t="shared" si="20"/>
        <v>1642</v>
      </c>
      <c r="H303">
        <f t="shared" si="17"/>
        <v>1</v>
      </c>
      <c r="I303">
        <f t="shared" si="18"/>
        <v>1642</v>
      </c>
      <c r="J303">
        <f t="shared" si="19"/>
        <v>1</v>
      </c>
    </row>
    <row r="304" spans="1:10" x14ac:dyDescent="0.25">
      <c r="A304" t="s">
        <v>98</v>
      </c>
      <c r="B304" t="s">
        <v>433</v>
      </c>
      <c r="C304">
        <v>1528</v>
      </c>
      <c r="D304">
        <v>1</v>
      </c>
      <c r="E304">
        <v>10</v>
      </c>
      <c r="F304">
        <v>1</v>
      </c>
      <c r="G304">
        <f t="shared" si="20"/>
        <v>1528</v>
      </c>
      <c r="H304">
        <f t="shared" si="17"/>
        <v>1</v>
      </c>
      <c r="I304">
        <f t="shared" si="18"/>
        <v>1528</v>
      </c>
      <c r="J304">
        <f t="shared" si="19"/>
        <v>1</v>
      </c>
    </row>
    <row r="305" spans="1:10" x14ac:dyDescent="0.25">
      <c r="A305" t="s">
        <v>98</v>
      </c>
      <c r="B305" t="s">
        <v>434</v>
      </c>
      <c r="C305">
        <v>1609</v>
      </c>
      <c r="D305">
        <v>1</v>
      </c>
      <c r="E305">
        <v>10</v>
      </c>
      <c r="F305">
        <v>1</v>
      </c>
      <c r="G305">
        <f t="shared" si="20"/>
        <v>1609</v>
      </c>
      <c r="H305">
        <f t="shared" si="17"/>
        <v>1</v>
      </c>
      <c r="I305">
        <f t="shared" si="18"/>
        <v>1609</v>
      </c>
      <c r="J305">
        <f t="shared" si="19"/>
        <v>1</v>
      </c>
    </row>
    <row r="306" spans="1:10" x14ac:dyDescent="0.25">
      <c r="A306" t="s">
        <v>99</v>
      </c>
      <c r="B306" t="s">
        <v>435</v>
      </c>
      <c r="C306">
        <v>606.1</v>
      </c>
      <c r="D306">
        <v>0.01</v>
      </c>
      <c r="E306">
        <v>1</v>
      </c>
      <c r="F306">
        <v>0.97275999999999996</v>
      </c>
      <c r="G306">
        <f t="shared" si="20"/>
        <v>58958.9836</v>
      </c>
      <c r="H306">
        <f t="shared" si="17"/>
        <v>97.275999999999996</v>
      </c>
      <c r="I306">
        <f t="shared" si="18"/>
        <v>606.1</v>
      </c>
      <c r="J306">
        <f t="shared" si="19"/>
        <v>97.275999999999996</v>
      </c>
    </row>
    <row r="307" spans="1:10" x14ac:dyDescent="0.25">
      <c r="A307" t="s">
        <v>99</v>
      </c>
      <c r="B307" t="s">
        <v>436</v>
      </c>
      <c r="C307">
        <v>614.78</v>
      </c>
      <c r="D307">
        <v>0.01</v>
      </c>
      <c r="E307">
        <v>1</v>
      </c>
      <c r="F307">
        <v>0.97275999999999996</v>
      </c>
      <c r="G307">
        <f t="shared" si="20"/>
        <v>59803.339279999993</v>
      </c>
      <c r="H307">
        <f t="shared" si="17"/>
        <v>97.275999999999996</v>
      </c>
      <c r="I307">
        <f t="shared" si="18"/>
        <v>614.78</v>
      </c>
      <c r="J307">
        <f t="shared" si="19"/>
        <v>97.275999999999996</v>
      </c>
    </row>
    <row r="308" spans="1:10" x14ac:dyDescent="0.25">
      <c r="A308" t="s">
        <v>99</v>
      </c>
      <c r="B308" t="s">
        <v>437</v>
      </c>
      <c r="C308">
        <v>617.69000000000005</v>
      </c>
      <c r="D308">
        <v>0.01</v>
      </c>
      <c r="E308">
        <v>1</v>
      </c>
      <c r="F308">
        <v>0.97275999999999996</v>
      </c>
      <c r="G308">
        <f t="shared" si="20"/>
        <v>60086.41244</v>
      </c>
      <c r="H308">
        <f t="shared" si="17"/>
        <v>97.275999999999996</v>
      </c>
      <c r="I308">
        <f t="shared" si="18"/>
        <v>617.69000000000005</v>
      </c>
      <c r="J308">
        <f t="shared" si="19"/>
        <v>97.275999999999996</v>
      </c>
    </row>
    <row r="309" spans="1:10" x14ac:dyDescent="0.25">
      <c r="A309" t="s">
        <v>99</v>
      </c>
      <c r="B309" t="s">
        <v>438</v>
      </c>
      <c r="C309">
        <v>621</v>
      </c>
      <c r="D309">
        <v>0.01</v>
      </c>
      <c r="E309">
        <v>1</v>
      </c>
      <c r="F309">
        <v>0.97275999999999996</v>
      </c>
      <c r="G309">
        <f t="shared" si="20"/>
        <v>60408.396000000001</v>
      </c>
      <c r="H309">
        <f t="shared" si="17"/>
        <v>97.275999999999996</v>
      </c>
      <c r="I309">
        <f t="shared" si="18"/>
        <v>621</v>
      </c>
      <c r="J309">
        <f t="shared" si="19"/>
        <v>97.275999999999996</v>
      </c>
    </row>
    <row r="310" spans="1:10" x14ac:dyDescent="0.25">
      <c r="A310" t="s">
        <v>100</v>
      </c>
      <c r="B310" t="s">
        <v>439</v>
      </c>
      <c r="C310">
        <v>59445</v>
      </c>
      <c r="D310">
        <v>1</v>
      </c>
      <c r="E310">
        <v>1000</v>
      </c>
      <c r="F310">
        <v>1</v>
      </c>
      <c r="G310">
        <f t="shared" si="20"/>
        <v>59445</v>
      </c>
      <c r="H310">
        <f t="shared" si="17"/>
        <v>1</v>
      </c>
      <c r="I310">
        <f t="shared" si="18"/>
        <v>59445</v>
      </c>
      <c r="J310">
        <f t="shared" si="19"/>
        <v>1</v>
      </c>
    </row>
    <row r="311" spans="1:10" x14ac:dyDescent="0.25">
      <c r="A311" t="s">
        <v>100</v>
      </c>
      <c r="B311" t="s">
        <v>440</v>
      </c>
      <c r="C311">
        <v>62513</v>
      </c>
      <c r="D311">
        <v>1</v>
      </c>
      <c r="E311">
        <v>1000</v>
      </c>
      <c r="F311">
        <v>1</v>
      </c>
      <c r="G311">
        <f t="shared" si="20"/>
        <v>62513</v>
      </c>
      <c r="H311">
        <f t="shared" si="17"/>
        <v>1</v>
      </c>
      <c r="I311">
        <f t="shared" si="18"/>
        <v>62513</v>
      </c>
      <c r="J311">
        <f t="shared" si="19"/>
        <v>1</v>
      </c>
    </row>
    <row r="312" spans="1:10" x14ac:dyDescent="0.25">
      <c r="A312" t="s">
        <v>101</v>
      </c>
      <c r="B312" t="s">
        <v>441</v>
      </c>
      <c r="C312">
        <v>1394.4</v>
      </c>
      <c r="D312">
        <v>0.2</v>
      </c>
      <c r="E312">
        <v>1</v>
      </c>
      <c r="F312">
        <v>0.2</v>
      </c>
      <c r="G312">
        <f t="shared" si="20"/>
        <v>1394.4</v>
      </c>
      <c r="H312">
        <f t="shared" si="17"/>
        <v>1</v>
      </c>
      <c r="I312">
        <f t="shared" si="18"/>
        <v>1394.4</v>
      </c>
      <c r="J312">
        <f t="shared" si="19"/>
        <v>1</v>
      </c>
    </row>
    <row r="313" spans="1:10" x14ac:dyDescent="0.25">
      <c r="A313" t="s">
        <v>101</v>
      </c>
      <c r="B313" t="s">
        <v>442</v>
      </c>
      <c r="C313">
        <v>1461</v>
      </c>
      <c r="D313">
        <v>0.2</v>
      </c>
      <c r="E313">
        <v>1</v>
      </c>
      <c r="F313">
        <v>0.2</v>
      </c>
      <c r="G313">
        <f t="shared" si="20"/>
        <v>1461</v>
      </c>
      <c r="H313">
        <f t="shared" si="17"/>
        <v>1</v>
      </c>
      <c r="I313">
        <f t="shared" si="18"/>
        <v>1461</v>
      </c>
      <c r="J313">
        <f t="shared" si="19"/>
        <v>1</v>
      </c>
    </row>
    <row r="314" spans="1:10" x14ac:dyDescent="0.25">
      <c r="A314" t="s">
        <v>102</v>
      </c>
      <c r="B314" t="s">
        <v>443</v>
      </c>
      <c r="C314">
        <v>100197</v>
      </c>
      <c r="D314">
        <v>1</v>
      </c>
      <c r="E314">
        <v>1000</v>
      </c>
      <c r="F314">
        <v>1</v>
      </c>
      <c r="G314">
        <f t="shared" si="20"/>
        <v>100197</v>
      </c>
      <c r="H314">
        <f t="shared" si="17"/>
        <v>1</v>
      </c>
      <c r="I314">
        <f t="shared" si="18"/>
        <v>100197</v>
      </c>
      <c r="J314">
        <f t="shared" si="19"/>
        <v>1</v>
      </c>
    </row>
    <row r="315" spans="1:10" x14ac:dyDescent="0.25">
      <c r="A315" t="s">
        <v>102</v>
      </c>
      <c r="B315" t="s">
        <v>444</v>
      </c>
      <c r="C315">
        <v>116351</v>
      </c>
      <c r="D315">
        <v>1</v>
      </c>
      <c r="E315">
        <v>1000</v>
      </c>
      <c r="F315">
        <v>1</v>
      </c>
      <c r="G315">
        <f t="shared" si="20"/>
        <v>116351</v>
      </c>
      <c r="H315">
        <f t="shared" si="17"/>
        <v>1</v>
      </c>
      <c r="I315">
        <f t="shared" si="18"/>
        <v>116351</v>
      </c>
      <c r="J315">
        <f t="shared" si="19"/>
        <v>1</v>
      </c>
    </row>
    <row r="316" spans="1:10" x14ac:dyDescent="0.25">
      <c r="A316" t="s">
        <v>102</v>
      </c>
      <c r="B316" t="s">
        <v>445</v>
      </c>
      <c r="C316">
        <v>103334</v>
      </c>
      <c r="D316">
        <v>1</v>
      </c>
      <c r="E316">
        <v>1000</v>
      </c>
      <c r="F316">
        <v>1</v>
      </c>
      <c r="G316">
        <f t="shared" si="20"/>
        <v>103334</v>
      </c>
      <c r="H316">
        <f t="shared" si="17"/>
        <v>1</v>
      </c>
      <c r="I316">
        <f t="shared" si="18"/>
        <v>103334</v>
      </c>
      <c r="J316">
        <f t="shared" si="19"/>
        <v>1</v>
      </c>
    </row>
    <row r="317" spans="1:10" x14ac:dyDescent="0.25">
      <c r="A317" t="s">
        <v>102</v>
      </c>
      <c r="B317" t="s">
        <v>446</v>
      </c>
      <c r="C317">
        <v>119553</v>
      </c>
      <c r="D317">
        <v>1</v>
      </c>
      <c r="E317">
        <v>1000</v>
      </c>
      <c r="F317">
        <v>1</v>
      </c>
      <c r="G317">
        <f t="shared" si="20"/>
        <v>119553</v>
      </c>
      <c r="H317">
        <f t="shared" si="17"/>
        <v>1</v>
      </c>
      <c r="I317">
        <f t="shared" si="18"/>
        <v>119553</v>
      </c>
      <c r="J317">
        <f t="shared" si="19"/>
        <v>1</v>
      </c>
    </row>
    <row r="318" spans="1:10" x14ac:dyDescent="0.25">
      <c r="A318" t="s">
        <v>102</v>
      </c>
      <c r="B318" t="s">
        <v>447</v>
      </c>
      <c r="C318">
        <v>106950</v>
      </c>
      <c r="D318">
        <v>1</v>
      </c>
      <c r="E318">
        <v>1000</v>
      </c>
      <c r="F318">
        <v>1</v>
      </c>
      <c r="G318">
        <f t="shared" si="20"/>
        <v>106950</v>
      </c>
      <c r="H318">
        <f t="shared" si="17"/>
        <v>1</v>
      </c>
      <c r="I318">
        <f t="shared" si="18"/>
        <v>106950</v>
      </c>
      <c r="J318">
        <f t="shared" si="19"/>
        <v>1</v>
      </c>
    </row>
    <row r="319" spans="1:10" x14ac:dyDescent="0.25">
      <c r="A319" t="s">
        <v>102</v>
      </c>
      <c r="B319" t="s">
        <v>448</v>
      </c>
      <c r="C319">
        <v>124400</v>
      </c>
      <c r="D319">
        <v>1</v>
      </c>
      <c r="E319">
        <v>1000</v>
      </c>
      <c r="F319">
        <v>1</v>
      </c>
      <c r="G319">
        <f t="shared" si="20"/>
        <v>124400</v>
      </c>
      <c r="H319">
        <f t="shared" si="17"/>
        <v>1</v>
      </c>
      <c r="I319">
        <f t="shared" si="18"/>
        <v>124400</v>
      </c>
      <c r="J319">
        <f t="shared" si="19"/>
        <v>1</v>
      </c>
    </row>
    <row r="320" spans="1:10" x14ac:dyDescent="0.25">
      <c r="A320" t="s">
        <v>102</v>
      </c>
      <c r="B320" t="s">
        <v>449</v>
      </c>
      <c r="C320">
        <v>111850</v>
      </c>
      <c r="D320">
        <v>1</v>
      </c>
      <c r="E320">
        <v>1000</v>
      </c>
      <c r="F320">
        <v>1</v>
      </c>
      <c r="G320">
        <f t="shared" si="20"/>
        <v>111850</v>
      </c>
      <c r="H320">
        <f t="shared" si="17"/>
        <v>1</v>
      </c>
      <c r="I320">
        <f t="shared" si="18"/>
        <v>111850</v>
      </c>
      <c r="J320">
        <f t="shared" si="19"/>
        <v>1</v>
      </c>
    </row>
    <row r="321" spans="1:10" x14ac:dyDescent="0.25">
      <c r="A321" t="s">
        <v>102</v>
      </c>
      <c r="B321" t="s">
        <v>450</v>
      </c>
      <c r="C321">
        <v>127502</v>
      </c>
      <c r="D321">
        <v>1</v>
      </c>
      <c r="E321">
        <v>1000</v>
      </c>
      <c r="F321">
        <v>1</v>
      </c>
      <c r="G321">
        <f t="shared" si="20"/>
        <v>127502</v>
      </c>
      <c r="H321">
        <f t="shared" si="17"/>
        <v>1</v>
      </c>
      <c r="I321">
        <f t="shared" si="18"/>
        <v>127502</v>
      </c>
      <c r="J321">
        <f t="shared" si="19"/>
        <v>1</v>
      </c>
    </row>
    <row r="322" spans="1:10" x14ac:dyDescent="0.25">
      <c r="A322" t="s">
        <v>103</v>
      </c>
      <c r="B322" t="s">
        <v>451</v>
      </c>
      <c r="C322">
        <v>28641</v>
      </c>
      <c r="D322">
        <v>1</v>
      </c>
      <c r="E322">
        <v>1000</v>
      </c>
      <c r="F322">
        <v>1</v>
      </c>
      <c r="G322">
        <f t="shared" si="20"/>
        <v>28641</v>
      </c>
      <c r="H322">
        <f t="shared" si="17"/>
        <v>1</v>
      </c>
      <c r="I322">
        <f t="shared" si="18"/>
        <v>28641</v>
      </c>
      <c r="J322">
        <f t="shared" si="19"/>
        <v>1</v>
      </c>
    </row>
    <row r="323" spans="1:10" x14ac:dyDescent="0.25">
      <c r="A323" t="s">
        <v>103</v>
      </c>
      <c r="B323" t="s">
        <v>452</v>
      </c>
      <c r="C323">
        <v>30050</v>
      </c>
      <c r="D323">
        <v>1</v>
      </c>
      <c r="E323">
        <v>1000</v>
      </c>
      <c r="F323">
        <v>1</v>
      </c>
      <c r="G323">
        <f t="shared" si="20"/>
        <v>30050</v>
      </c>
      <c r="H323">
        <f t="shared" ref="H323:H386" si="21">F323/D323</f>
        <v>1</v>
      </c>
      <c r="I323">
        <f t="shared" ref="I323:I386" si="22">G323/H323</f>
        <v>30050</v>
      </c>
      <c r="J323">
        <f t="shared" ref="J323:J386" si="23">F323/D323</f>
        <v>1</v>
      </c>
    </row>
    <row r="324" spans="1:10" x14ac:dyDescent="0.25">
      <c r="A324" t="s">
        <v>104</v>
      </c>
      <c r="B324" t="s">
        <v>453</v>
      </c>
      <c r="C324">
        <v>6258</v>
      </c>
      <c r="D324">
        <v>1</v>
      </c>
      <c r="E324">
        <v>10</v>
      </c>
      <c r="F324">
        <v>1</v>
      </c>
      <c r="G324">
        <f t="shared" si="20"/>
        <v>6258</v>
      </c>
      <c r="H324">
        <f t="shared" si="21"/>
        <v>1</v>
      </c>
      <c r="I324">
        <f t="shared" si="22"/>
        <v>6258</v>
      </c>
      <c r="J324">
        <f t="shared" si="23"/>
        <v>1</v>
      </c>
    </row>
    <row r="325" spans="1:10" x14ac:dyDescent="0.25">
      <c r="A325" t="s">
        <v>104</v>
      </c>
      <c r="B325" t="s">
        <v>454</v>
      </c>
      <c r="C325">
        <v>6586</v>
      </c>
      <c r="D325">
        <v>1</v>
      </c>
      <c r="E325">
        <v>10</v>
      </c>
      <c r="F325">
        <v>1</v>
      </c>
      <c r="G325">
        <f t="shared" si="20"/>
        <v>6586</v>
      </c>
      <c r="H325">
        <f t="shared" si="21"/>
        <v>1</v>
      </c>
      <c r="I325">
        <f t="shared" si="22"/>
        <v>6586</v>
      </c>
      <c r="J325">
        <f t="shared" si="23"/>
        <v>1</v>
      </c>
    </row>
    <row r="326" spans="1:10" x14ac:dyDescent="0.25">
      <c r="A326" t="s">
        <v>105</v>
      </c>
      <c r="B326" t="s">
        <v>455</v>
      </c>
      <c r="C326">
        <v>29230</v>
      </c>
      <c r="D326">
        <v>1</v>
      </c>
      <c r="E326">
        <v>100</v>
      </c>
      <c r="F326">
        <v>1</v>
      </c>
      <c r="G326">
        <f t="shared" si="20"/>
        <v>29230</v>
      </c>
      <c r="H326">
        <f t="shared" si="21"/>
        <v>1</v>
      </c>
      <c r="I326">
        <f t="shared" si="22"/>
        <v>29230</v>
      </c>
      <c r="J326">
        <f t="shared" si="23"/>
        <v>1</v>
      </c>
    </row>
    <row r="327" spans="1:10" x14ac:dyDescent="0.25">
      <c r="A327" t="s">
        <v>105</v>
      </c>
      <c r="B327" t="s">
        <v>456</v>
      </c>
      <c r="C327">
        <v>30148</v>
      </c>
      <c r="D327">
        <v>1</v>
      </c>
      <c r="E327">
        <v>100</v>
      </c>
      <c r="F327">
        <v>1</v>
      </c>
      <c r="G327">
        <f t="shared" si="20"/>
        <v>30148</v>
      </c>
      <c r="H327">
        <f t="shared" si="21"/>
        <v>1</v>
      </c>
      <c r="I327">
        <f t="shared" si="22"/>
        <v>30148</v>
      </c>
      <c r="J327">
        <f t="shared" si="23"/>
        <v>1</v>
      </c>
    </row>
    <row r="328" spans="1:10" x14ac:dyDescent="0.25">
      <c r="A328" t="s">
        <v>106</v>
      </c>
      <c r="B328" t="s">
        <v>457</v>
      </c>
      <c r="C328">
        <v>29295</v>
      </c>
      <c r="D328">
        <v>1</v>
      </c>
      <c r="E328">
        <v>100</v>
      </c>
      <c r="F328">
        <v>1</v>
      </c>
      <c r="G328">
        <f t="shared" si="20"/>
        <v>29295</v>
      </c>
      <c r="H328">
        <f t="shared" si="21"/>
        <v>1</v>
      </c>
      <c r="I328">
        <f t="shared" si="22"/>
        <v>29295</v>
      </c>
      <c r="J328">
        <f t="shared" si="23"/>
        <v>1</v>
      </c>
    </row>
    <row r="329" spans="1:10" x14ac:dyDescent="0.25">
      <c r="A329" t="s">
        <v>106</v>
      </c>
      <c r="B329" t="s">
        <v>458</v>
      </c>
      <c r="C329">
        <v>30259</v>
      </c>
      <c r="D329">
        <v>1</v>
      </c>
      <c r="E329">
        <v>100</v>
      </c>
      <c r="F329">
        <v>1</v>
      </c>
      <c r="G329">
        <f t="shared" si="20"/>
        <v>30259</v>
      </c>
      <c r="H329">
        <f t="shared" si="21"/>
        <v>1</v>
      </c>
      <c r="I329">
        <f t="shared" si="22"/>
        <v>30259</v>
      </c>
      <c r="J329">
        <f t="shared" si="23"/>
        <v>1</v>
      </c>
    </row>
    <row r="330" spans="1:10" x14ac:dyDescent="0.25">
      <c r="A330" t="s">
        <v>107</v>
      </c>
      <c r="B330" t="s">
        <v>459</v>
      </c>
      <c r="C330">
        <v>1302</v>
      </c>
      <c r="D330">
        <v>1</v>
      </c>
      <c r="E330">
        <v>1</v>
      </c>
      <c r="F330">
        <v>1</v>
      </c>
      <c r="G330">
        <f t="shared" si="20"/>
        <v>1302</v>
      </c>
      <c r="H330">
        <f t="shared" si="21"/>
        <v>1</v>
      </c>
      <c r="I330">
        <f t="shared" si="22"/>
        <v>1302</v>
      </c>
      <c r="J330">
        <f t="shared" si="23"/>
        <v>1</v>
      </c>
    </row>
    <row r="331" spans="1:10" x14ac:dyDescent="0.25">
      <c r="A331" t="s">
        <v>107</v>
      </c>
      <c r="B331" t="s">
        <v>460</v>
      </c>
      <c r="C331">
        <v>1366</v>
      </c>
      <c r="D331">
        <v>1</v>
      </c>
      <c r="E331">
        <v>1</v>
      </c>
      <c r="F331">
        <v>1</v>
      </c>
      <c r="G331">
        <f t="shared" si="20"/>
        <v>1366</v>
      </c>
      <c r="H331">
        <f t="shared" si="21"/>
        <v>1</v>
      </c>
      <c r="I331">
        <f t="shared" si="22"/>
        <v>1366</v>
      </c>
      <c r="J331">
        <f t="shared" si="23"/>
        <v>1</v>
      </c>
    </row>
    <row r="332" spans="1:10" x14ac:dyDescent="0.25">
      <c r="A332" t="s">
        <v>108</v>
      </c>
      <c r="B332" t="s">
        <v>461</v>
      </c>
      <c r="C332">
        <v>61120</v>
      </c>
      <c r="D332">
        <v>10</v>
      </c>
      <c r="E332">
        <v>100</v>
      </c>
      <c r="F332">
        <v>1</v>
      </c>
      <c r="G332">
        <f t="shared" si="20"/>
        <v>6112</v>
      </c>
      <c r="H332">
        <f t="shared" si="21"/>
        <v>0.1</v>
      </c>
      <c r="I332">
        <f t="shared" si="22"/>
        <v>61120</v>
      </c>
      <c r="J332">
        <f t="shared" si="23"/>
        <v>0.1</v>
      </c>
    </row>
    <row r="333" spans="1:10" x14ac:dyDescent="0.25">
      <c r="A333" t="s">
        <v>108</v>
      </c>
      <c r="B333" t="s">
        <v>462</v>
      </c>
      <c r="C333">
        <v>62790</v>
      </c>
      <c r="D333">
        <v>10</v>
      </c>
      <c r="E333">
        <v>100</v>
      </c>
      <c r="F333">
        <v>1</v>
      </c>
      <c r="G333">
        <f t="shared" ref="G333:G396" si="24">(F333/D333)*C333</f>
        <v>6279</v>
      </c>
      <c r="H333">
        <f t="shared" si="21"/>
        <v>0.1</v>
      </c>
      <c r="I333">
        <f t="shared" si="22"/>
        <v>62790</v>
      </c>
      <c r="J333">
        <f t="shared" si="23"/>
        <v>0.1</v>
      </c>
    </row>
    <row r="334" spans="1:10" x14ac:dyDescent="0.25">
      <c r="A334" t="s">
        <v>108</v>
      </c>
      <c r="B334" t="s">
        <v>463</v>
      </c>
      <c r="C334">
        <v>62370</v>
      </c>
      <c r="D334">
        <v>10</v>
      </c>
      <c r="E334">
        <v>100</v>
      </c>
      <c r="F334">
        <v>1</v>
      </c>
      <c r="G334">
        <f t="shared" si="24"/>
        <v>6237</v>
      </c>
      <c r="H334">
        <f t="shared" si="21"/>
        <v>0.1</v>
      </c>
      <c r="I334">
        <f t="shared" si="22"/>
        <v>62370</v>
      </c>
      <c r="J334">
        <f t="shared" si="23"/>
        <v>0.1</v>
      </c>
    </row>
    <row r="335" spans="1:10" x14ac:dyDescent="0.25">
      <c r="A335" t="s">
        <v>108</v>
      </c>
      <c r="B335" t="s">
        <v>464</v>
      </c>
      <c r="C335">
        <v>62270</v>
      </c>
      <c r="D335">
        <v>10</v>
      </c>
      <c r="E335">
        <v>100</v>
      </c>
      <c r="F335">
        <v>1</v>
      </c>
      <c r="G335">
        <f t="shared" si="24"/>
        <v>6227</v>
      </c>
      <c r="H335">
        <f t="shared" si="21"/>
        <v>0.1</v>
      </c>
      <c r="I335">
        <f t="shared" si="22"/>
        <v>62270</v>
      </c>
      <c r="J335">
        <f t="shared" si="23"/>
        <v>0.1</v>
      </c>
    </row>
    <row r="336" spans="1:10" x14ac:dyDescent="0.25">
      <c r="A336" t="s">
        <v>108</v>
      </c>
      <c r="B336" t="s">
        <v>465</v>
      </c>
      <c r="C336">
        <v>64000</v>
      </c>
      <c r="D336">
        <v>10</v>
      </c>
      <c r="E336">
        <v>100</v>
      </c>
      <c r="F336">
        <v>1</v>
      </c>
      <c r="G336">
        <f t="shared" si="24"/>
        <v>6400</v>
      </c>
      <c r="H336">
        <f t="shared" si="21"/>
        <v>0.1</v>
      </c>
      <c r="I336">
        <f t="shared" si="22"/>
        <v>64000</v>
      </c>
      <c r="J336">
        <f t="shared" si="23"/>
        <v>0.1</v>
      </c>
    </row>
    <row r="337" spans="1:10" x14ac:dyDescent="0.25">
      <c r="A337" t="s">
        <v>108</v>
      </c>
      <c r="B337" t="s">
        <v>466</v>
      </c>
      <c r="C337">
        <v>63720</v>
      </c>
      <c r="D337">
        <v>10</v>
      </c>
      <c r="E337">
        <v>100</v>
      </c>
      <c r="F337">
        <v>1</v>
      </c>
      <c r="G337">
        <f t="shared" si="24"/>
        <v>6372</v>
      </c>
      <c r="H337">
        <f t="shared" si="21"/>
        <v>0.1</v>
      </c>
      <c r="I337">
        <f t="shared" si="22"/>
        <v>63720</v>
      </c>
      <c r="J337">
        <f t="shared" si="23"/>
        <v>0.1</v>
      </c>
    </row>
    <row r="338" spans="1:10" x14ac:dyDescent="0.25">
      <c r="A338" t="s">
        <v>108</v>
      </c>
      <c r="B338" t="s">
        <v>467</v>
      </c>
      <c r="C338">
        <v>63510</v>
      </c>
      <c r="D338">
        <v>10</v>
      </c>
      <c r="E338">
        <v>100</v>
      </c>
      <c r="F338">
        <v>1</v>
      </c>
      <c r="G338">
        <f t="shared" si="24"/>
        <v>6351</v>
      </c>
      <c r="H338">
        <f t="shared" si="21"/>
        <v>0.1</v>
      </c>
      <c r="I338">
        <f t="shared" si="22"/>
        <v>63510</v>
      </c>
      <c r="J338">
        <f t="shared" si="23"/>
        <v>0.1</v>
      </c>
    </row>
    <row r="339" spans="1:10" x14ac:dyDescent="0.25">
      <c r="A339" t="s">
        <v>109</v>
      </c>
      <c r="B339" t="s">
        <v>468</v>
      </c>
      <c r="C339">
        <v>33.24</v>
      </c>
      <c r="D339">
        <v>0.01</v>
      </c>
      <c r="E339">
        <v>10</v>
      </c>
      <c r="F339">
        <v>9.7276199999999999</v>
      </c>
      <c r="G339">
        <f t="shared" si="24"/>
        <v>32334.60888</v>
      </c>
      <c r="H339">
        <f t="shared" si="21"/>
        <v>972.76199999999994</v>
      </c>
      <c r="I339">
        <f t="shared" si="22"/>
        <v>33.24</v>
      </c>
      <c r="J339">
        <f t="shared" si="23"/>
        <v>972.76199999999994</v>
      </c>
    </row>
    <row r="340" spans="1:10" x14ac:dyDescent="0.25">
      <c r="A340" t="s">
        <v>109</v>
      </c>
      <c r="B340" t="s">
        <v>469</v>
      </c>
      <c r="C340">
        <v>34.18</v>
      </c>
      <c r="D340">
        <v>0.01</v>
      </c>
      <c r="E340">
        <v>10</v>
      </c>
      <c r="F340">
        <v>9.7276199999999999</v>
      </c>
      <c r="G340">
        <f t="shared" si="24"/>
        <v>33249.005160000001</v>
      </c>
      <c r="H340">
        <f t="shared" si="21"/>
        <v>972.76199999999994</v>
      </c>
      <c r="I340">
        <f t="shared" si="22"/>
        <v>34.18</v>
      </c>
      <c r="J340">
        <f t="shared" si="23"/>
        <v>972.76199999999994</v>
      </c>
    </row>
    <row r="341" spans="1:10" x14ac:dyDescent="0.25">
      <c r="A341" t="s">
        <v>109</v>
      </c>
      <c r="B341" t="s">
        <v>470</v>
      </c>
      <c r="C341">
        <v>35.159999999999997</v>
      </c>
      <c r="D341">
        <v>0.01</v>
      </c>
      <c r="E341">
        <v>10</v>
      </c>
      <c r="F341">
        <v>9.7276199999999999</v>
      </c>
      <c r="G341">
        <f t="shared" si="24"/>
        <v>34202.311919999993</v>
      </c>
      <c r="H341">
        <f t="shared" si="21"/>
        <v>972.76199999999994</v>
      </c>
      <c r="I341">
        <f t="shared" si="22"/>
        <v>35.159999999999997</v>
      </c>
      <c r="J341">
        <f t="shared" si="23"/>
        <v>972.76199999999994</v>
      </c>
    </row>
    <row r="342" spans="1:10" x14ac:dyDescent="0.25">
      <c r="A342" t="s">
        <v>109</v>
      </c>
      <c r="B342" t="s">
        <v>471</v>
      </c>
      <c r="C342">
        <v>36.32</v>
      </c>
      <c r="D342">
        <v>0.01</v>
      </c>
      <c r="E342">
        <v>10</v>
      </c>
      <c r="F342">
        <v>9.7276199999999999</v>
      </c>
      <c r="G342">
        <f t="shared" si="24"/>
        <v>35330.715839999997</v>
      </c>
      <c r="H342">
        <f t="shared" si="21"/>
        <v>972.76199999999994</v>
      </c>
      <c r="I342">
        <f t="shared" si="22"/>
        <v>36.32</v>
      </c>
      <c r="J342">
        <f t="shared" si="23"/>
        <v>972.76199999999994</v>
      </c>
    </row>
    <row r="343" spans="1:10" x14ac:dyDescent="0.25">
      <c r="A343" t="s">
        <v>110</v>
      </c>
      <c r="B343" t="s">
        <v>472</v>
      </c>
      <c r="C343">
        <v>5396</v>
      </c>
      <c r="D343">
        <v>0.1</v>
      </c>
      <c r="E343">
        <v>100</v>
      </c>
      <c r="F343">
        <v>0.10122</v>
      </c>
      <c r="G343">
        <f t="shared" si="24"/>
        <v>5461.8311999999996</v>
      </c>
      <c r="H343">
        <f t="shared" si="21"/>
        <v>1.0122</v>
      </c>
      <c r="I343">
        <f t="shared" si="22"/>
        <v>5396</v>
      </c>
      <c r="J343">
        <f t="shared" si="23"/>
        <v>1.0122</v>
      </c>
    </row>
    <row r="344" spans="1:10" x14ac:dyDescent="0.25">
      <c r="A344" t="s">
        <v>110</v>
      </c>
      <c r="B344" t="s">
        <v>473</v>
      </c>
      <c r="C344">
        <v>5329.3</v>
      </c>
      <c r="D344">
        <v>0.1</v>
      </c>
      <c r="E344">
        <v>100</v>
      </c>
      <c r="F344">
        <v>0.10122</v>
      </c>
      <c r="G344">
        <f t="shared" si="24"/>
        <v>5394.3174600000002</v>
      </c>
      <c r="H344">
        <f t="shared" si="21"/>
        <v>1.0122</v>
      </c>
      <c r="I344">
        <f t="shared" si="22"/>
        <v>5329.3</v>
      </c>
      <c r="J344">
        <f t="shared" si="23"/>
        <v>1.0122</v>
      </c>
    </row>
    <row r="345" spans="1:10" x14ac:dyDescent="0.25">
      <c r="A345" t="s">
        <v>110</v>
      </c>
      <c r="B345" t="s">
        <v>474</v>
      </c>
      <c r="C345">
        <v>5418</v>
      </c>
      <c r="D345">
        <v>0.1</v>
      </c>
      <c r="E345">
        <v>100</v>
      </c>
      <c r="F345">
        <v>0.10122</v>
      </c>
      <c r="G345">
        <f t="shared" si="24"/>
        <v>5484.0995999999996</v>
      </c>
      <c r="H345">
        <f t="shared" si="21"/>
        <v>1.0122</v>
      </c>
      <c r="I345">
        <f t="shared" si="22"/>
        <v>5418</v>
      </c>
      <c r="J345">
        <f t="shared" si="23"/>
        <v>1.0122</v>
      </c>
    </row>
    <row r="346" spans="1:10" x14ac:dyDescent="0.25">
      <c r="A346" t="s">
        <v>110</v>
      </c>
      <c r="B346" t="s">
        <v>475</v>
      </c>
      <c r="C346">
        <v>5300</v>
      </c>
      <c r="D346">
        <v>0.1</v>
      </c>
      <c r="E346">
        <v>100</v>
      </c>
      <c r="F346">
        <v>0.10122</v>
      </c>
      <c r="G346">
        <f t="shared" si="24"/>
        <v>5364.66</v>
      </c>
      <c r="H346">
        <f t="shared" si="21"/>
        <v>1.0122</v>
      </c>
      <c r="I346">
        <f t="shared" si="22"/>
        <v>5300</v>
      </c>
      <c r="J346">
        <f t="shared" si="23"/>
        <v>1.0122</v>
      </c>
    </row>
    <row r="347" spans="1:10" x14ac:dyDescent="0.25">
      <c r="A347" t="s">
        <v>111</v>
      </c>
      <c r="B347" t="s">
        <v>476</v>
      </c>
      <c r="C347">
        <v>1397</v>
      </c>
      <c r="D347">
        <v>1</v>
      </c>
      <c r="E347">
        <v>1000</v>
      </c>
      <c r="F347">
        <v>1</v>
      </c>
      <c r="G347">
        <f t="shared" si="24"/>
        <v>1397</v>
      </c>
      <c r="H347">
        <f t="shared" si="21"/>
        <v>1</v>
      </c>
      <c r="I347">
        <f t="shared" si="22"/>
        <v>1397</v>
      </c>
      <c r="J347">
        <f t="shared" si="23"/>
        <v>1</v>
      </c>
    </row>
    <row r="348" spans="1:10" x14ac:dyDescent="0.25">
      <c r="A348" t="s">
        <v>111</v>
      </c>
      <c r="B348" t="s">
        <v>477</v>
      </c>
      <c r="C348">
        <v>1429</v>
      </c>
      <c r="D348">
        <v>1</v>
      </c>
      <c r="E348">
        <v>1000</v>
      </c>
      <c r="F348">
        <v>1</v>
      </c>
      <c r="G348">
        <f t="shared" si="24"/>
        <v>1429</v>
      </c>
      <c r="H348">
        <f t="shared" si="21"/>
        <v>1</v>
      </c>
      <c r="I348">
        <f t="shared" si="22"/>
        <v>1429</v>
      </c>
      <c r="J348">
        <f t="shared" si="23"/>
        <v>1</v>
      </c>
    </row>
    <row r="349" spans="1:10" x14ac:dyDescent="0.25">
      <c r="A349" t="s">
        <v>112</v>
      </c>
      <c r="B349" t="s">
        <v>478</v>
      </c>
      <c r="C349">
        <v>3334</v>
      </c>
      <c r="D349">
        <v>1</v>
      </c>
      <c r="E349">
        <v>1</v>
      </c>
      <c r="F349">
        <v>1</v>
      </c>
      <c r="G349">
        <f t="shared" si="24"/>
        <v>3334</v>
      </c>
      <c r="H349">
        <f t="shared" si="21"/>
        <v>1</v>
      </c>
      <c r="I349">
        <f t="shared" si="22"/>
        <v>3334</v>
      </c>
      <c r="J349">
        <f t="shared" si="23"/>
        <v>1</v>
      </c>
    </row>
    <row r="350" spans="1:10" x14ac:dyDescent="0.25">
      <c r="A350" t="s">
        <v>112</v>
      </c>
      <c r="B350" t="s">
        <v>479</v>
      </c>
      <c r="C350">
        <v>3511</v>
      </c>
      <c r="D350">
        <v>1</v>
      </c>
      <c r="E350">
        <v>1</v>
      </c>
      <c r="F350">
        <v>1</v>
      </c>
      <c r="G350">
        <f t="shared" si="24"/>
        <v>3511</v>
      </c>
      <c r="H350">
        <f t="shared" si="21"/>
        <v>1</v>
      </c>
      <c r="I350">
        <f t="shared" si="22"/>
        <v>3511</v>
      </c>
      <c r="J350">
        <f t="shared" si="23"/>
        <v>1</v>
      </c>
    </row>
    <row r="351" spans="1:10" x14ac:dyDescent="0.25">
      <c r="A351" t="s">
        <v>113</v>
      </c>
      <c r="B351" t="s">
        <v>480</v>
      </c>
      <c r="C351">
        <v>31810</v>
      </c>
      <c r="D351">
        <v>1</v>
      </c>
      <c r="E351">
        <v>10</v>
      </c>
      <c r="F351">
        <v>1</v>
      </c>
      <c r="G351">
        <f t="shared" si="24"/>
        <v>31810</v>
      </c>
      <c r="H351">
        <f t="shared" si="21"/>
        <v>1</v>
      </c>
      <c r="I351">
        <f t="shared" si="22"/>
        <v>31810</v>
      </c>
      <c r="J351">
        <f t="shared" si="23"/>
        <v>1</v>
      </c>
    </row>
    <row r="352" spans="1:10" x14ac:dyDescent="0.25">
      <c r="A352" t="s">
        <v>114</v>
      </c>
      <c r="B352" t="s">
        <v>481</v>
      </c>
      <c r="C352">
        <v>1153</v>
      </c>
      <c r="D352">
        <v>1</v>
      </c>
      <c r="E352">
        <v>1</v>
      </c>
      <c r="F352">
        <v>1</v>
      </c>
      <c r="G352">
        <f t="shared" si="24"/>
        <v>1153</v>
      </c>
      <c r="H352">
        <f t="shared" si="21"/>
        <v>1</v>
      </c>
      <c r="I352">
        <f t="shared" si="22"/>
        <v>1153</v>
      </c>
      <c r="J352">
        <f t="shared" si="23"/>
        <v>1</v>
      </c>
    </row>
    <row r="353" spans="1:10" x14ac:dyDescent="0.25">
      <c r="A353" t="s">
        <v>114</v>
      </c>
      <c r="B353" t="s">
        <v>482</v>
      </c>
      <c r="C353">
        <v>1220</v>
      </c>
      <c r="D353">
        <v>1</v>
      </c>
      <c r="E353">
        <v>1</v>
      </c>
      <c r="F353">
        <v>1</v>
      </c>
      <c r="G353">
        <f t="shared" si="24"/>
        <v>1220</v>
      </c>
      <c r="H353">
        <f t="shared" si="21"/>
        <v>1</v>
      </c>
      <c r="I353">
        <f t="shared" si="22"/>
        <v>1220</v>
      </c>
      <c r="J353">
        <f t="shared" si="23"/>
        <v>1</v>
      </c>
    </row>
    <row r="354" spans="1:10" x14ac:dyDescent="0.25">
      <c r="A354" t="s">
        <v>115</v>
      </c>
      <c r="B354" t="s">
        <v>483</v>
      </c>
      <c r="C354">
        <v>6889</v>
      </c>
      <c r="D354">
        <v>1</v>
      </c>
      <c r="E354">
        <v>10</v>
      </c>
      <c r="F354">
        <v>1</v>
      </c>
      <c r="G354">
        <f t="shared" si="24"/>
        <v>6889</v>
      </c>
      <c r="H354">
        <f t="shared" si="21"/>
        <v>1</v>
      </c>
      <c r="I354">
        <f t="shared" si="22"/>
        <v>6889</v>
      </c>
      <c r="J354">
        <f t="shared" si="23"/>
        <v>1</v>
      </c>
    </row>
    <row r="355" spans="1:10" x14ac:dyDescent="0.25">
      <c r="A355" t="s">
        <v>115</v>
      </c>
      <c r="B355" t="s">
        <v>484</v>
      </c>
      <c r="C355">
        <v>7226</v>
      </c>
      <c r="D355">
        <v>1</v>
      </c>
      <c r="E355">
        <v>10</v>
      </c>
      <c r="F355">
        <v>1</v>
      </c>
      <c r="G355">
        <f t="shared" si="24"/>
        <v>7226</v>
      </c>
      <c r="H355">
        <f t="shared" si="21"/>
        <v>1</v>
      </c>
      <c r="I355">
        <f t="shared" si="22"/>
        <v>7226</v>
      </c>
      <c r="J355">
        <f t="shared" si="23"/>
        <v>1</v>
      </c>
    </row>
    <row r="356" spans="1:10" x14ac:dyDescent="0.25">
      <c r="A356" t="s">
        <v>116</v>
      </c>
      <c r="B356" t="s">
        <v>485</v>
      </c>
      <c r="C356">
        <v>37.966799999999999</v>
      </c>
      <c r="D356">
        <v>1E-4</v>
      </c>
      <c r="E356">
        <v>1000</v>
      </c>
      <c r="F356">
        <v>0.27123000000000003</v>
      </c>
      <c r="G356">
        <f t="shared" si="24"/>
        <v>102977.35164000001</v>
      </c>
      <c r="H356">
        <f t="shared" si="21"/>
        <v>2712.3</v>
      </c>
      <c r="I356">
        <f t="shared" si="22"/>
        <v>37.966799999999999</v>
      </c>
      <c r="J356">
        <f t="shared" si="23"/>
        <v>2712.3</v>
      </c>
    </row>
    <row r="357" spans="1:10" x14ac:dyDescent="0.25">
      <c r="A357" t="s">
        <v>116</v>
      </c>
      <c r="B357" t="s">
        <v>486</v>
      </c>
      <c r="C357">
        <v>40.008899999999997</v>
      </c>
      <c r="D357">
        <v>1E-4</v>
      </c>
      <c r="E357">
        <v>1000</v>
      </c>
      <c r="F357">
        <v>0.27123000000000003</v>
      </c>
      <c r="G357">
        <f t="shared" si="24"/>
        <v>108516.13946999999</v>
      </c>
      <c r="H357">
        <f t="shared" si="21"/>
        <v>2712.3</v>
      </c>
      <c r="I357">
        <f t="shared" si="22"/>
        <v>40.008899999999997</v>
      </c>
      <c r="J357">
        <f t="shared" si="23"/>
        <v>2712.3</v>
      </c>
    </row>
    <row r="358" spans="1:10" x14ac:dyDescent="0.25">
      <c r="A358" t="s">
        <v>117</v>
      </c>
      <c r="B358" t="s">
        <v>487</v>
      </c>
      <c r="C358">
        <v>70922</v>
      </c>
      <c r="D358">
        <v>1</v>
      </c>
      <c r="E358">
        <v>100</v>
      </c>
      <c r="F358">
        <v>1</v>
      </c>
      <c r="G358">
        <f t="shared" si="24"/>
        <v>70922</v>
      </c>
      <c r="H358">
        <f t="shared" si="21"/>
        <v>1</v>
      </c>
      <c r="I358">
        <f t="shared" si="22"/>
        <v>70922</v>
      </c>
      <c r="J358">
        <f t="shared" si="23"/>
        <v>1</v>
      </c>
    </row>
    <row r="359" spans="1:10" x14ac:dyDescent="0.25">
      <c r="A359" t="s">
        <v>117</v>
      </c>
      <c r="B359" t="s">
        <v>488</v>
      </c>
      <c r="C359">
        <v>73384</v>
      </c>
      <c r="D359">
        <v>1</v>
      </c>
      <c r="E359">
        <v>100</v>
      </c>
      <c r="F359">
        <v>1</v>
      </c>
      <c r="G359">
        <f t="shared" si="24"/>
        <v>73384</v>
      </c>
      <c r="H359">
        <f t="shared" si="21"/>
        <v>1</v>
      </c>
      <c r="I359">
        <f t="shared" si="22"/>
        <v>73384</v>
      </c>
      <c r="J359">
        <f t="shared" si="23"/>
        <v>1</v>
      </c>
    </row>
    <row r="360" spans="1:10" x14ac:dyDescent="0.25">
      <c r="A360" t="s">
        <v>118</v>
      </c>
      <c r="B360" t="s">
        <v>489</v>
      </c>
      <c r="C360">
        <v>2.629</v>
      </c>
      <c r="D360">
        <v>1E-3</v>
      </c>
      <c r="E360">
        <v>1000</v>
      </c>
      <c r="F360">
        <v>1</v>
      </c>
      <c r="G360">
        <f t="shared" si="24"/>
        <v>2629</v>
      </c>
      <c r="H360">
        <f t="shared" si="21"/>
        <v>1000</v>
      </c>
      <c r="I360">
        <f t="shared" si="22"/>
        <v>2.629</v>
      </c>
      <c r="J360">
        <f t="shared" si="23"/>
        <v>1000</v>
      </c>
    </row>
    <row r="361" spans="1:10" x14ac:dyDescent="0.25">
      <c r="A361" t="s">
        <v>118</v>
      </c>
      <c r="B361" t="s">
        <v>490</v>
      </c>
      <c r="C361">
        <v>2.6549999999999998</v>
      </c>
      <c r="D361">
        <v>1E-3</v>
      </c>
      <c r="E361">
        <v>1000</v>
      </c>
      <c r="F361">
        <v>1</v>
      </c>
      <c r="G361">
        <f t="shared" si="24"/>
        <v>2655</v>
      </c>
      <c r="H361">
        <f t="shared" si="21"/>
        <v>1000</v>
      </c>
      <c r="I361">
        <f t="shared" si="22"/>
        <v>2.6549999999999998</v>
      </c>
      <c r="J361">
        <f t="shared" si="23"/>
        <v>1000</v>
      </c>
    </row>
    <row r="362" spans="1:10" x14ac:dyDescent="0.25">
      <c r="A362" t="s">
        <v>118</v>
      </c>
      <c r="B362" t="s">
        <v>491</v>
      </c>
      <c r="C362">
        <v>2.6</v>
      </c>
      <c r="D362">
        <v>1E-3</v>
      </c>
      <c r="E362">
        <v>1000</v>
      </c>
      <c r="F362">
        <v>1</v>
      </c>
      <c r="G362">
        <f t="shared" si="24"/>
        <v>2600</v>
      </c>
      <c r="H362">
        <f t="shared" si="21"/>
        <v>1000</v>
      </c>
      <c r="I362">
        <f t="shared" si="22"/>
        <v>2.6</v>
      </c>
      <c r="J362">
        <f t="shared" si="23"/>
        <v>1000</v>
      </c>
    </row>
    <row r="363" spans="1:10" x14ac:dyDescent="0.25">
      <c r="A363" t="s">
        <v>118</v>
      </c>
      <c r="B363" t="s">
        <v>492</v>
      </c>
      <c r="C363">
        <v>2.835</v>
      </c>
      <c r="D363">
        <v>1E-3</v>
      </c>
      <c r="E363">
        <v>1000</v>
      </c>
      <c r="F363">
        <v>1</v>
      </c>
      <c r="G363">
        <f t="shared" si="24"/>
        <v>2835</v>
      </c>
      <c r="H363">
        <f t="shared" si="21"/>
        <v>1000</v>
      </c>
      <c r="I363">
        <f t="shared" si="22"/>
        <v>2.835</v>
      </c>
      <c r="J363">
        <f t="shared" si="23"/>
        <v>1000</v>
      </c>
    </row>
    <row r="364" spans="1:10" x14ac:dyDescent="0.25">
      <c r="A364" t="s">
        <v>119</v>
      </c>
      <c r="B364" t="s">
        <v>493</v>
      </c>
      <c r="C364">
        <v>7.3470000000000004</v>
      </c>
      <c r="D364">
        <v>1E-3</v>
      </c>
      <c r="E364">
        <v>1000</v>
      </c>
      <c r="F364">
        <v>13.3279</v>
      </c>
      <c r="G364">
        <f t="shared" si="24"/>
        <v>97920.081300000005</v>
      </c>
      <c r="H364">
        <f t="shared" si="21"/>
        <v>13327.9</v>
      </c>
      <c r="I364">
        <f t="shared" si="22"/>
        <v>7.3470000000000004</v>
      </c>
      <c r="J364">
        <f t="shared" si="23"/>
        <v>13327.9</v>
      </c>
    </row>
    <row r="365" spans="1:10" x14ac:dyDescent="0.25">
      <c r="A365" t="s">
        <v>119</v>
      </c>
      <c r="B365" t="s">
        <v>494</v>
      </c>
      <c r="C365">
        <v>7.3029999999999999</v>
      </c>
      <c r="D365">
        <v>1E-3</v>
      </c>
      <c r="E365">
        <v>1000</v>
      </c>
      <c r="F365">
        <v>13.3279</v>
      </c>
      <c r="G365">
        <f t="shared" si="24"/>
        <v>97333.653699999995</v>
      </c>
      <c r="H365">
        <f t="shared" si="21"/>
        <v>13327.9</v>
      </c>
      <c r="I365">
        <f t="shared" si="22"/>
        <v>7.3029999999999999</v>
      </c>
      <c r="J365">
        <f t="shared" si="23"/>
        <v>13327.9</v>
      </c>
    </row>
    <row r="366" spans="1:10" x14ac:dyDescent="0.25">
      <c r="A366" t="s">
        <v>119</v>
      </c>
      <c r="B366" t="s">
        <v>495</v>
      </c>
      <c r="C366">
        <v>7.2430000000000003</v>
      </c>
      <c r="D366">
        <v>1E-3</v>
      </c>
      <c r="E366">
        <v>1000</v>
      </c>
      <c r="F366">
        <v>13.3279</v>
      </c>
      <c r="G366">
        <f t="shared" si="24"/>
        <v>96533.979699999996</v>
      </c>
      <c r="H366">
        <f t="shared" si="21"/>
        <v>13327.9</v>
      </c>
      <c r="I366">
        <f t="shared" si="22"/>
        <v>7.2430000000000003</v>
      </c>
      <c r="J366">
        <f t="shared" si="23"/>
        <v>13327.9</v>
      </c>
    </row>
    <row r="367" spans="1:10" x14ac:dyDescent="0.25">
      <c r="A367" t="s">
        <v>119</v>
      </c>
      <c r="B367" t="s">
        <v>496</v>
      </c>
      <c r="C367">
        <v>7.3010000000000002</v>
      </c>
      <c r="D367">
        <v>1E-3</v>
      </c>
      <c r="E367">
        <v>1000</v>
      </c>
      <c r="F367">
        <v>13.3279</v>
      </c>
      <c r="G367">
        <f t="shared" si="24"/>
        <v>97306.997900000002</v>
      </c>
      <c r="H367">
        <f t="shared" si="21"/>
        <v>13327.9</v>
      </c>
      <c r="I367">
        <f t="shared" si="22"/>
        <v>7.3010000000000002</v>
      </c>
      <c r="J367">
        <f t="shared" si="23"/>
        <v>13327.9</v>
      </c>
    </row>
    <row r="368" spans="1:10" x14ac:dyDescent="0.25">
      <c r="A368" t="s">
        <v>120</v>
      </c>
      <c r="B368" t="s">
        <v>497</v>
      </c>
      <c r="C368">
        <v>97.28</v>
      </c>
      <c r="D368">
        <v>0.01</v>
      </c>
      <c r="E368">
        <v>1000</v>
      </c>
      <c r="F368">
        <v>10</v>
      </c>
      <c r="G368">
        <f t="shared" si="24"/>
        <v>97280</v>
      </c>
      <c r="H368">
        <f t="shared" si="21"/>
        <v>1000</v>
      </c>
      <c r="I368">
        <f t="shared" si="22"/>
        <v>97.28</v>
      </c>
      <c r="J368">
        <f t="shared" si="23"/>
        <v>1000</v>
      </c>
    </row>
    <row r="369" spans="1:10" x14ac:dyDescent="0.25">
      <c r="A369" t="s">
        <v>121</v>
      </c>
      <c r="B369" t="s">
        <v>498</v>
      </c>
      <c r="C369">
        <v>537</v>
      </c>
      <c r="D369">
        <v>0.1</v>
      </c>
      <c r="E369">
        <v>1000</v>
      </c>
      <c r="F369">
        <v>19</v>
      </c>
      <c r="G369">
        <f t="shared" si="24"/>
        <v>102030</v>
      </c>
      <c r="H369">
        <f t="shared" si="21"/>
        <v>190</v>
      </c>
      <c r="I369">
        <f t="shared" si="22"/>
        <v>537</v>
      </c>
      <c r="J369">
        <f t="shared" si="23"/>
        <v>190</v>
      </c>
    </row>
    <row r="370" spans="1:10" x14ac:dyDescent="0.25">
      <c r="A370" t="s">
        <v>121</v>
      </c>
      <c r="B370" t="s">
        <v>499</v>
      </c>
      <c r="C370">
        <v>548.9</v>
      </c>
      <c r="D370">
        <v>0.1</v>
      </c>
      <c r="E370">
        <v>1000</v>
      </c>
      <c r="F370">
        <v>19</v>
      </c>
      <c r="G370">
        <f t="shared" si="24"/>
        <v>104291</v>
      </c>
      <c r="H370">
        <f t="shared" si="21"/>
        <v>190</v>
      </c>
      <c r="I370">
        <f t="shared" si="22"/>
        <v>548.9</v>
      </c>
      <c r="J370">
        <f t="shared" si="23"/>
        <v>190</v>
      </c>
    </row>
    <row r="371" spans="1:10" x14ac:dyDescent="0.25">
      <c r="A371" t="s">
        <v>122</v>
      </c>
      <c r="B371" t="s">
        <v>500</v>
      </c>
      <c r="C371">
        <v>8352</v>
      </c>
      <c r="D371">
        <v>1</v>
      </c>
      <c r="E371">
        <v>100</v>
      </c>
      <c r="F371">
        <v>1</v>
      </c>
      <c r="G371">
        <f t="shared" si="24"/>
        <v>8352</v>
      </c>
      <c r="H371">
        <f t="shared" si="21"/>
        <v>1</v>
      </c>
      <c r="I371">
        <f t="shared" si="22"/>
        <v>8352</v>
      </c>
      <c r="J371">
        <f t="shared" si="23"/>
        <v>1</v>
      </c>
    </row>
    <row r="372" spans="1:10" x14ac:dyDescent="0.25">
      <c r="A372" t="s">
        <v>122</v>
      </c>
      <c r="B372" t="s">
        <v>501</v>
      </c>
      <c r="C372">
        <v>8807</v>
      </c>
      <c r="D372">
        <v>1</v>
      </c>
      <c r="E372">
        <v>100</v>
      </c>
      <c r="F372">
        <v>1</v>
      </c>
      <c r="G372">
        <f t="shared" si="24"/>
        <v>8807</v>
      </c>
      <c r="H372">
        <f t="shared" si="21"/>
        <v>1</v>
      </c>
      <c r="I372">
        <f t="shared" si="22"/>
        <v>8807</v>
      </c>
      <c r="J372">
        <f t="shared" si="23"/>
        <v>1</v>
      </c>
    </row>
    <row r="373" spans="1:10" x14ac:dyDescent="0.25">
      <c r="A373" t="s">
        <v>123</v>
      </c>
      <c r="B373" t="s">
        <v>502</v>
      </c>
      <c r="C373">
        <v>37.9</v>
      </c>
      <c r="D373">
        <v>0.05</v>
      </c>
      <c r="E373">
        <v>1</v>
      </c>
      <c r="F373">
        <v>9.7276199999999999</v>
      </c>
      <c r="G373">
        <f t="shared" si="24"/>
        <v>7373.5359599999992</v>
      </c>
      <c r="H373">
        <f t="shared" si="21"/>
        <v>194.55239999999998</v>
      </c>
      <c r="I373">
        <f t="shared" si="22"/>
        <v>37.9</v>
      </c>
      <c r="J373">
        <f t="shared" si="23"/>
        <v>194.55239999999998</v>
      </c>
    </row>
    <row r="374" spans="1:10" x14ac:dyDescent="0.25">
      <c r="A374" t="s">
        <v>123</v>
      </c>
      <c r="B374" t="s">
        <v>503</v>
      </c>
      <c r="C374">
        <v>37.9</v>
      </c>
      <c r="D374">
        <v>0.05</v>
      </c>
      <c r="E374">
        <v>1</v>
      </c>
      <c r="F374">
        <v>9.7276199999999999</v>
      </c>
      <c r="G374">
        <f t="shared" si="24"/>
        <v>7373.5359599999992</v>
      </c>
      <c r="H374">
        <f t="shared" si="21"/>
        <v>194.55239999999998</v>
      </c>
      <c r="I374">
        <f t="shared" si="22"/>
        <v>37.9</v>
      </c>
      <c r="J374">
        <f t="shared" si="23"/>
        <v>194.55239999999998</v>
      </c>
    </row>
    <row r="375" spans="1:10" x14ac:dyDescent="0.25">
      <c r="A375" t="s">
        <v>123</v>
      </c>
      <c r="B375" t="s">
        <v>504</v>
      </c>
      <c r="C375">
        <v>37.9</v>
      </c>
      <c r="D375">
        <v>0.05</v>
      </c>
      <c r="E375">
        <v>1</v>
      </c>
      <c r="F375">
        <v>9.7276199999999999</v>
      </c>
      <c r="G375">
        <f t="shared" si="24"/>
        <v>7373.5359599999992</v>
      </c>
      <c r="H375">
        <f t="shared" si="21"/>
        <v>194.55239999999998</v>
      </c>
      <c r="I375">
        <f t="shared" si="22"/>
        <v>37.9</v>
      </c>
      <c r="J375">
        <f t="shared" si="23"/>
        <v>194.55239999999998</v>
      </c>
    </row>
    <row r="376" spans="1:10" x14ac:dyDescent="0.25">
      <c r="A376" t="s">
        <v>124</v>
      </c>
      <c r="B376" t="s">
        <v>505</v>
      </c>
      <c r="C376">
        <v>3110</v>
      </c>
      <c r="D376">
        <v>1</v>
      </c>
      <c r="E376">
        <v>10</v>
      </c>
      <c r="F376">
        <v>1</v>
      </c>
      <c r="G376">
        <f t="shared" si="24"/>
        <v>3110</v>
      </c>
      <c r="H376">
        <f t="shared" si="21"/>
        <v>1</v>
      </c>
      <c r="I376">
        <f t="shared" si="22"/>
        <v>3110</v>
      </c>
      <c r="J376">
        <f t="shared" si="23"/>
        <v>1</v>
      </c>
    </row>
    <row r="377" spans="1:10" x14ac:dyDescent="0.25">
      <c r="A377" t="s">
        <v>124</v>
      </c>
      <c r="B377" t="s">
        <v>506</v>
      </c>
      <c r="C377">
        <v>3291</v>
      </c>
      <c r="D377">
        <v>1</v>
      </c>
      <c r="E377">
        <v>10</v>
      </c>
      <c r="F377">
        <v>1</v>
      </c>
      <c r="G377">
        <f t="shared" si="24"/>
        <v>3291</v>
      </c>
      <c r="H377">
        <f t="shared" si="21"/>
        <v>1</v>
      </c>
      <c r="I377">
        <f t="shared" si="22"/>
        <v>3291</v>
      </c>
      <c r="J377">
        <f t="shared" si="23"/>
        <v>1</v>
      </c>
    </row>
    <row r="378" spans="1:10" x14ac:dyDescent="0.25">
      <c r="A378" t="s">
        <v>125</v>
      </c>
      <c r="B378" t="s">
        <v>507</v>
      </c>
      <c r="C378">
        <v>19550</v>
      </c>
      <c r="D378">
        <v>10</v>
      </c>
      <c r="E378">
        <v>1</v>
      </c>
      <c r="F378">
        <v>10</v>
      </c>
      <c r="G378">
        <f t="shared" si="24"/>
        <v>19550</v>
      </c>
      <c r="H378">
        <f t="shared" si="21"/>
        <v>1</v>
      </c>
      <c r="I378">
        <f t="shared" si="22"/>
        <v>19550</v>
      </c>
      <c r="J378">
        <f t="shared" si="23"/>
        <v>1</v>
      </c>
    </row>
    <row r="379" spans="1:10" x14ac:dyDescent="0.25">
      <c r="A379" t="s">
        <v>125</v>
      </c>
      <c r="B379" t="s">
        <v>508</v>
      </c>
      <c r="C379">
        <v>18520</v>
      </c>
      <c r="D379">
        <v>10</v>
      </c>
      <c r="E379">
        <v>1</v>
      </c>
      <c r="F379">
        <v>10</v>
      </c>
      <c r="G379">
        <f t="shared" si="24"/>
        <v>18520</v>
      </c>
      <c r="H379">
        <f t="shared" si="21"/>
        <v>1</v>
      </c>
      <c r="I379">
        <f t="shared" si="22"/>
        <v>18520</v>
      </c>
      <c r="J379">
        <f t="shared" si="23"/>
        <v>1</v>
      </c>
    </row>
    <row r="380" spans="1:10" x14ac:dyDescent="0.25">
      <c r="A380" t="s">
        <v>125</v>
      </c>
      <c r="B380" t="s">
        <v>509</v>
      </c>
      <c r="C380">
        <v>18510</v>
      </c>
      <c r="D380">
        <v>10</v>
      </c>
      <c r="E380">
        <v>1</v>
      </c>
      <c r="F380">
        <v>10</v>
      </c>
      <c r="G380">
        <f t="shared" si="24"/>
        <v>18510</v>
      </c>
      <c r="H380">
        <f t="shared" si="21"/>
        <v>1</v>
      </c>
      <c r="I380">
        <f t="shared" si="22"/>
        <v>18510</v>
      </c>
      <c r="J380">
        <f t="shared" si="23"/>
        <v>1</v>
      </c>
    </row>
    <row r="381" spans="1:10" x14ac:dyDescent="0.25">
      <c r="A381" t="s">
        <v>125</v>
      </c>
      <c r="B381" t="s">
        <v>510</v>
      </c>
      <c r="C381">
        <v>18560</v>
      </c>
      <c r="D381">
        <v>10</v>
      </c>
      <c r="E381">
        <v>1</v>
      </c>
      <c r="F381">
        <v>10</v>
      </c>
      <c r="G381">
        <f t="shared" si="24"/>
        <v>18560</v>
      </c>
      <c r="H381">
        <f t="shared" si="21"/>
        <v>1</v>
      </c>
      <c r="I381">
        <f t="shared" si="22"/>
        <v>18560</v>
      </c>
      <c r="J381">
        <f t="shared" si="23"/>
        <v>1</v>
      </c>
    </row>
    <row r="382" spans="1:10" x14ac:dyDescent="0.25">
      <c r="A382" t="s">
        <v>125</v>
      </c>
      <c r="B382" t="s">
        <v>511</v>
      </c>
      <c r="C382">
        <v>18660</v>
      </c>
      <c r="D382">
        <v>10</v>
      </c>
      <c r="E382">
        <v>1</v>
      </c>
      <c r="F382">
        <v>10</v>
      </c>
      <c r="G382">
        <f t="shared" si="24"/>
        <v>18660</v>
      </c>
      <c r="H382">
        <f t="shared" si="21"/>
        <v>1</v>
      </c>
      <c r="I382">
        <f t="shared" si="22"/>
        <v>18660</v>
      </c>
      <c r="J382">
        <f t="shared" si="23"/>
        <v>1</v>
      </c>
    </row>
    <row r="383" spans="1:10" x14ac:dyDescent="0.25">
      <c r="A383" t="s">
        <v>125</v>
      </c>
      <c r="B383" t="s">
        <v>512</v>
      </c>
      <c r="C383">
        <v>18930</v>
      </c>
      <c r="D383">
        <v>10</v>
      </c>
      <c r="E383">
        <v>1</v>
      </c>
      <c r="F383">
        <v>10</v>
      </c>
      <c r="G383">
        <f t="shared" si="24"/>
        <v>18930</v>
      </c>
      <c r="H383">
        <f t="shared" si="21"/>
        <v>1</v>
      </c>
      <c r="I383">
        <f t="shared" si="22"/>
        <v>18930</v>
      </c>
      <c r="J383">
        <f t="shared" si="23"/>
        <v>1</v>
      </c>
    </row>
    <row r="384" spans="1:10" x14ac:dyDescent="0.25">
      <c r="A384" t="s">
        <v>125</v>
      </c>
      <c r="B384" t="s">
        <v>513</v>
      </c>
      <c r="C384">
        <v>19090</v>
      </c>
      <c r="D384">
        <v>10</v>
      </c>
      <c r="E384">
        <v>1</v>
      </c>
      <c r="F384">
        <v>10</v>
      </c>
      <c r="G384">
        <f t="shared" si="24"/>
        <v>19090</v>
      </c>
      <c r="H384">
        <f t="shared" si="21"/>
        <v>1</v>
      </c>
      <c r="I384">
        <f t="shared" si="22"/>
        <v>19090</v>
      </c>
      <c r="J384">
        <f t="shared" si="23"/>
        <v>1</v>
      </c>
    </row>
    <row r="385" spans="1:10" x14ac:dyDescent="0.25">
      <c r="A385" t="s">
        <v>125</v>
      </c>
      <c r="B385" t="s">
        <v>514</v>
      </c>
      <c r="C385">
        <v>18980</v>
      </c>
      <c r="D385">
        <v>10</v>
      </c>
      <c r="E385">
        <v>1</v>
      </c>
      <c r="F385">
        <v>10</v>
      </c>
      <c r="G385">
        <f t="shared" si="24"/>
        <v>18980</v>
      </c>
      <c r="H385">
        <f t="shared" si="21"/>
        <v>1</v>
      </c>
      <c r="I385">
        <f t="shared" si="22"/>
        <v>18980</v>
      </c>
      <c r="J385">
        <f t="shared" si="23"/>
        <v>1</v>
      </c>
    </row>
    <row r="386" spans="1:10" x14ac:dyDescent="0.25">
      <c r="A386" t="s">
        <v>125</v>
      </c>
      <c r="B386" t="s">
        <v>515</v>
      </c>
      <c r="C386">
        <v>18830</v>
      </c>
      <c r="D386">
        <v>10</v>
      </c>
      <c r="E386">
        <v>1</v>
      </c>
      <c r="F386">
        <v>10</v>
      </c>
      <c r="G386">
        <f t="shared" si="24"/>
        <v>18830</v>
      </c>
      <c r="H386">
        <f t="shared" si="21"/>
        <v>1</v>
      </c>
      <c r="I386">
        <f t="shared" si="22"/>
        <v>18830</v>
      </c>
      <c r="J386">
        <f t="shared" si="23"/>
        <v>1</v>
      </c>
    </row>
    <row r="387" spans="1:10" x14ac:dyDescent="0.25">
      <c r="A387" t="s">
        <v>125</v>
      </c>
      <c r="B387" t="s">
        <v>516</v>
      </c>
      <c r="C387">
        <v>19380</v>
      </c>
      <c r="D387">
        <v>10</v>
      </c>
      <c r="E387">
        <v>1</v>
      </c>
      <c r="F387">
        <v>10</v>
      </c>
      <c r="G387">
        <f t="shared" si="24"/>
        <v>19380</v>
      </c>
      <c r="H387">
        <f t="shared" ref="H387:H397" si="25">F387/D387</f>
        <v>1</v>
      </c>
      <c r="I387">
        <f t="shared" ref="I387:I397" si="26">G387/H387</f>
        <v>19380</v>
      </c>
      <c r="J387">
        <f t="shared" ref="J387:J397" si="27">F387/D387</f>
        <v>1</v>
      </c>
    </row>
    <row r="388" spans="1:10" x14ac:dyDescent="0.25">
      <c r="A388" t="s">
        <v>125</v>
      </c>
      <c r="B388" t="s">
        <v>517</v>
      </c>
      <c r="C388">
        <v>19120</v>
      </c>
      <c r="D388">
        <v>10</v>
      </c>
      <c r="E388">
        <v>1</v>
      </c>
      <c r="F388">
        <v>10</v>
      </c>
      <c r="G388">
        <f t="shared" si="24"/>
        <v>19120</v>
      </c>
      <c r="H388">
        <f t="shared" si="25"/>
        <v>1</v>
      </c>
      <c r="I388">
        <f t="shared" si="26"/>
        <v>19120</v>
      </c>
      <c r="J388">
        <f t="shared" si="27"/>
        <v>1</v>
      </c>
    </row>
    <row r="389" spans="1:10" x14ac:dyDescent="0.25">
      <c r="A389" t="s">
        <v>125</v>
      </c>
      <c r="B389" t="s">
        <v>518</v>
      </c>
      <c r="C389">
        <v>19360</v>
      </c>
      <c r="D389">
        <v>10</v>
      </c>
      <c r="E389">
        <v>1</v>
      </c>
      <c r="F389">
        <v>10</v>
      </c>
      <c r="G389">
        <f t="shared" si="24"/>
        <v>19360</v>
      </c>
      <c r="H389">
        <f t="shared" si="25"/>
        <v>1</v>
      </c>
      <c r="I389">
        <f t="shared" si="26"/>
        <v>19360</v>
      </c>
      <c r="J389">
        <f t="shared" si="27"/>
        <v>1</v>
      </c>
    </row>
    <row r="390" spans="1:10" x14ac:dyDescent="0.25">
      <c r="A390" t="s">
        <v>126</v>
      </c>
      <c r="B390" t="s">
        <v>519</v>
      </c>
      <c r="C390">
        <v>1913</v>
      </c>
      <c r="D390">
        <v>1</v>
      </c>
      <c r="E390">
        <v>10</v>
      </c>
      <c r="F390">
        <v>1</v>
      </c>
      <c r="G390">
        <f t="shared" si="24"/>
        <v>1913</v>
      </c>
      <c r="H390">
        <f t="shared" si="25"/>
        <v>1</v>
      </c>
      <c r="I390">
        <f t="shared" si="26"/>
        <v>1913</v>
      </c>
      <c r="J390">
        <f t="shared" si="27"/>
        <v>1</v>
      </c>
    </row>
    <row r="391" spans="1:10" x14ac:dyDescent="0.25">
      <c r="A391" t="s">
        <v>126</v>
      </c>
      <c r="B391" t="s">
        <v>520</v>
      </c>
      <c r="C391">
        <v>2049</v>
      </c>
      <c r="D391">
        <v>1</v>
      </c>
      <c r="E391">
        <v>10</v>
      </c>
      <c r="F391">
        <v>1</v>
      </c>
      <c r="G391">
        <f t="shared" si="24"/>
        <v>2049</v>
      </c>
      <c r="H391">
        <f t="shared" si="25"/>
        <v>1</v>
      </c>
      <c r="I391">
        <f t="shared" si="26"/>
        <v>2049</v>
      </c>
      <c r="J391">
        <f t="shared" si="27"/>
        <v>1</v>
      </c>
    </row>
    <row r="392" spans="1:10" x14ac:dyDescent="0.25">
      <c r="A392" t="s">
        <v>127</v>
      </c>
      <c r="B392" t="s">
        <v>521</v>
      </c>
      <c r="C392">
        <v>3334</v>
      </c>
      <c r="D392">
        <v>1</v>
      </c>
      <c r="E392">
        <v>1</v>
      </c>
      <c r="F392">
        <v>1</v>
      </c>
      <c r="G392">
        <f t="shared" si="24"/>
        <v>3334</v>
      </c>
      <c r="H392">
        <f t="shared" si="25"/>
        <v>1</v>
      </c>
      <c r="I392">
        <f t="shared" si="26"/>
        <v>3334</v>
      </c>
      <c r="J392">
        <f t="shared" si="27"/>
        <v>1</v>
      </c>
    </row>
    <row r="393" spans="1:10" x14ac:dyDescent="0.25">
      <c r="A393" t="s">
        <v>127</v>
      </c>
      <c r="B393" t="s">
        <v>522</v>
      </c>
      <c r="C393">
        <v>3325</v>
      </c>
      <c r="D393">
        <v>1</v>
      </c>
      <c r="E393">
        <v>1</v>
      </c>
      <c r="F393">
        <v>1</v>
      </c>
      <c r="G393">
        <f t="shared" si="24"/>
        <v>3325</v>
      </c>
      <c r="H393">
        <f t="shared" si="25"/>
        <v>1</v>
      </c>
      <c r="I393">
        <f t="shared" si="26"/>
        <v>3325</v>
      </c>
      <c r="J393">
        <f t="shared" si="27"/>
        <v>1</v>
      </c>
    </row>
    <row r="394" spans="1:10" x14ac:dyDescent="0.25">
      <c r="A394" t="s">
        <v>128</v>
      </c>
      <c r="B394" t="s">
        <v>523</v>
      </c>
      <c r="C394">
        <v>4310</v>
      </c>
      <c r="D394">
        <v>1</v>
      </c>
      <c r="E394">
        <v>1</v>
      </c>
      <c r="F394">
        <v>1</v>
      </c>
      <c r="G394">
        <f t="shared" si="24"/>
        <v>4310</v>
      </c>
      <c r="H394">
        <f t="shared" si="25"/>
        <v>1</v>
      </c>
      <c r="I394">
        <f t="shared" si="26"/>
        <v>4310</v>
      </c>
      <c r="J394">
        <f t="shared" si="27"/>
        <v>1</v>
      </c>
    </row>
    <row r="395" spans="1:10" x14ac:dyDescent="0.25">
      <c r="A395" t="s">
        <v>128</v>
      </c>
      <c r="B395" t="s">
        <v>524</v>
      </c>
      <c r="C395">
        <v>4517</v>
      </c>
      <c r="D395">
        <v>1</v>
      </c>
      <c r="E395">
        <v>1</v>
      </c>
      <c r="F395">
        <v>1</v>
      </c>
      <c r="G395">
        <f t="shared" si="24"/>
        <v>4517</v>
      </c>
      <c r="H395">
        <f t="shared" si="25"/>
        <v>1</v>
      </c>
      <c r="I395">
        <f t="shared" si="26"/>
        <v>4517</v>
      </c>
      <c r="J395">
        <f t="shared" si="27"/>
        <v>1</v>
      </c>
    </row>
    <row r="396" spans="1:10" x14ac:dyDescent="0.25">
      <c r="A396" t="s">
        <v>129</v>
      </c>
      <c r="B396" t="s">
        <v>525</v>
      </c>
      <c r="C396">
        <v>2833</v>
      </c>
      <c r="D396">
        <v>0.5</v>
      </c>
      <c r="E396">
        <v>100</v>
      </c>
      <c r="F396">
        <v>4.86381</v>
      </c>
      <c r="G396">
        <f t="shared" si="24"/>
        <v>27558.347460000001</v>
      </c>
      <c r="H396">
        <f t="shared" si="25"/>
        <v>9.7276199999999999</v>
      </c>
      <c r="I396">
        <f t="shared" si="26"/>
        <v>2833</v>
      </c>
      <c r="J396">
        <f t="shared" si="27"/>
        <v>9.7276199999999999</v>
      </c>
    </row>
    <row r="397" spans="1:10" x14ac:dyDescent="0.25">
      <c r="A397" t="s">
        <v>129</v>
      </c>
      <c r="B397" t="s">
        <v>526</v>
      </c>
      <c r="C397">
        <v>2926.5</v>
      </c>
      <c r="D397">
        <v>0.5</v>
      </c>
      <c r="E397">
        <v>100</v>
      </c>
      <c r="F397">
        <v>4.86381</v>
      </c>
      <c r="G397">
        <f t="shared" ref="G397" si="28">(F397/D397)*C397</f>
        <v>28467.879929999999</v>
      </c>
      <c r="H397">
        <f t="shared" si="25"/>
        <v>9.7276199999999999</v>
      </c>
      <c r="I397">
        <f t="shared" si="26"/>
        <v>2926.5</v>
      </c>
      <c r="J397">
        <f t="shared" si="27"/>
        <v>9.7276199999999999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Каир Сабиев</dc:creator>
  <cp:lastModifiedBy>Каир Сабиев</cp:lastModifiedBy>
  <dcterms:created xsi:type="dcterms:W3CDTF">2015-06-05T18:17:20Z</dcterms:created>
  <dcterms:modified xsi:type="dcterms:W3CDTF">2025-02-11T18:52:47Z</dcterms:modified>
</cp:coreProperties>
</file>